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53222"/>
  <mc:AlternateContent xmlns:mc="http://schemas.openxmlformats.org/markup-compatibility/2006">
    <mc:Choice Requires="x15">
      <x15ac:absPath xmlns:x15ac="http://schemas.microsoft.com/office/spreadsheetml/2010/11/ac" url="C:\Users\lbsti\Desktop\My-Excel-Project\"/>
    </mc:Choice>
  </mc:AlternateContent>
  <bookViews>
    <workbookView xWindow="0" yWindow="0" windowWidth="24000" windowHeight="9105" activeTab="3"/>
  </bookViews>
  <sheets>
    <sheet name="SalesData" sheetId="1" r:id="rId1"/>
    <sheet name="Sales Analysis" sheetId="2" r:id="rId2"/>
    <sheet name="Product Performance" sheetId="6" r:id="rId3"/>
    <sheet name="Dashboard" sheetId="9" r:id="rId4"/>
  </sheets>
  <definedNames>
    <definedName name="_xlnm._FilterDatabase" localSheetId="0" hidden="1">SalesData!$A$1:$N$1001</definedName>
    <definedName name="Slicer_Category">#N/A</definedName>
    <definedName name="Slicer_Country">#N/A</definedName>
    <definedName name="Slicer_Order_Date">#N/A</definedName>
    <definedName name="Slicer_Region">#N/A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2" i="1"/>
</calcChain>
</file>

<file path=xl/sharedStrings.xml><?xml version="1.0" encoding="utf-8"?>
<sst xmlns="http://schemas.openxmlformats.org/spreadsheetml/2006/main" count="4065" uniqueCount="51">
  <si>
    <t>Order_ID</t>
  </si>
  <si>
    <t>Order_Date</t>
  </si>
  <si>
    <t>Region</t>
  </si>
  <si>
    <t>Country</t>
  </si>
  <si>
    <t>Category</t>
  </si>
  <si>
    <t>Sub_Category</t>
  </si>
  <si>
    <t>Customer_Age</t>
  </si>
  <si>
    <t>Quantity</t>
  </si>
  <si>
    <t>Unit_Price</t>
  </si>
  <si>
    <t>Discount_%</t>
  </si>
  <si>
    <t>Sales</t>
  </si>
  <si>
    <t>Discount_Amount</t>
  </si>
  <si>
    <t>Profit</t>
  </si>
  <si>
    <t>South</t>
  </si>
  <si>
    <t>India</t>
  </si>
  <si>
    <t>Furniture</t>
  </si>
  <si>
    <t>Mobile</t>
  </si>
  <si>
    <t>West</t>
  </si>
  <si>
    <t>Australia</t>
  </si>
  <si>
    <t>Grocery</t>
  </si>
  <si>
    <t>Jeans</t>
  </si>
  <si>
    <t>North</t>
  </si>
  <si>
    <t>USA</t>
  </si>
  <si>
    <t>Laptop</t>
  </si>
  <si>
    <t>Beverages</t>
  </si>
  <si>
    <t>Clothing</t>
  </si>
  <si>
    <t>Shirt</t>
  </si>
  <si>
    <t>UK</t>
  </si>
  <si>
    <t>Chair</t>
  </si>
  <si>
    <t>Canada</t>
  </si>
  <si>
    <t>Table</t>
  </si>
  <si>
    <t>Snacks</t>
  </si>
  <si>
    <t>Electronics</t>
  </si>
  <si>
    <t>East</t>
  </si>
  <si>
    <t>Sum of Sales</t>
  </si>
  <si>
    <t>Jan</t>
  </si>
  <si>
    <t>Feb</t>
  </si>
  <si>
    <t>Mar</t>
  </si>
  <si>
    <t>Apr</t>
  </si>
  <si>
    <t>May</t>
  </si>
  <si>
    <t>Jun</t>
  </si>
  <si>
    <t>Jul</t>
  </si>
  <si>
    <t>Aug</t>
  </si>
  <si>
    <t>Sep</t>
  </si>
  <si>
    <t>Oct</t>
  </si>
  <si>
    <t>Nov</t>
  </si>
  <si>
    <t>Dec</t>
  </si>
  <si>
    <t>Sum of Profit</t>
  </si>
  <si>
    <t>Months</t>
  </si>
  <si>
    <t>Age_Group</t>
  </si>
  <si>
    <t>Sum of Quantity</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</si>
</sst>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F800]dddd\,\ mmmm\ dd\,\ yyyy"/>
    <numFmt numFmtId="165" formatCode="&quot;₹&quot;\ #,##0"/>
    <numFmt numFmtId="166" formatCode="&quot;₹&quot;\ #,##0.00"/>
    <numFmt numFmtId="167" formatCode="&quot;₹&quot;\ 0,,&quot;M&quot;"/>
    <numFmt numFmtId="168" formatCode="&quot;₹&quot;\ 00,,&quot;K&quot;"/>
    <numFmt numFmtId="169" formatCode="&quot;₹&quot;\ #,##0,&quot;K&quot;"/>
    <numFmt numFmtId="170" formatCode="#,##0,,&quot;M&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64" fontId="0" fillId="0" borderId="0" xfId="0" applyNumberFormat="1" applyAlignment="1">
      <alignment horizontal="left"/>
    </xf>
    <xf numFmtId="10" fontId="0" fillId="0" borderId="0" xfId="0" applyNumberFormat="1"/>
    <xf numFmtId="0" fontId="16" fillId="0" borderId="0" xfId="0" pivotButton="1" applyFon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xf numFmtId="17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[sales-dashboard.xlsx]Sales Analysis!PivotTable3</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Monthly Sales Trend</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'Sales Analysis'!$H$1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Analysis'!$G$2:$G$13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Analysis'!$H$2:$H$13</c:f>
              <c:numCache>
                <c:formatCode>General</c:formatCode>
                <c:ptCount val="12"/>
                <c:pt idx="0">
                  <c:v>9305085</c:v>
                </c:pt>
                <c:pt idx="1">
                  <c:v>10904366</c:v>
                </c:pt>
                <c:pt idx="2">
                  <c:v>11798565</c:v>
                </c:pt>
                <c:pt idx="3">
                  <c:v>12734695</c:v>
                </c:pt>
                <c:pt idx="4">
                  <c:v>10774944</c:v>
                </c:pt>
                <c:pt idx="5">
                  <c:v>11478889</c:v>
                </c:pt>
                <c:pt idx="6">
                  <c:v>14211277</c:v>
                </c:pt>
                <c:pt idx="7">
                  <c:v>11833107</c:v>
                </c:pt>
                <c:pt idx="8">
                  <c:v>10468476</c:v>
                </c:pt>
                <c:pt idx="9">
                  <c:v>8719217</c:v>
                </c:pt>
                <c:pt idx="10">
                  <c:v>8768913</c:v>
                </c:pt>
                <c:pt idx="11">
                  <c:v>6819981</c:v>
                </c:pt>
              </c:numCache>
            </c:numRef>
          </c:val>
          <c:smooth val="0"/>
        </c:ser>
        <c:dLbls>
          <c:showLegendKey val="0"/>
          <c:showVal val="0"/>
          <c:showCatName val="0"/>
          <c:showSerName val="0"/>
          <c:showPercent val="0"/>
          <c:showBubbleSize val="0"/>
        </c:dLbls>
        <c:marker val="1"/>
        <c:smooth val="0"/>
        <c:axId val="729373616"/>
        <c:axId val="729380688"/>
      </c:lineChart>
      <c:catAx>
        <c:axId val="72937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729380688"/>
        <c:crosses val="autoZero"/>
        <c:auto val="1"/>
        <c:lblAlgn val="ctr"/>
        <c:lblOffset val="100"/>
        <c:noMultiLvlLbl val="0"/>
      </c:catAx>
      <c:valAx>
        <c:axId val="729380688"/>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7293736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[sales-dashboard.xlsx]Sales Analysis!PivotTable1</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Region</a:t>
            </a:r>
            <a:r>
              <a:rPr lang="en-US" b="1" baseline="0">
                <a:solidFill>
                  <a:schemeClr val="tx1"/>
                </a:solidFill>
              </a:rPr>
              <a:t>-wise Sales</a:t>
            </a:r>
            <a:endParaRPr lang="en-US" b="1">
              <a:solidFill>
                <a:schemeClr val="tx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stacked"/>
        <c:varyColors val="0"/>
        <c:ser>
          <c:idx val="0"/>
          <c:order val="0"/>
          <c:tx>
            <c:strRef>
              <c:f>'Sales Analysis'!$B$1</c:f>
              <c:strCache>
                <c:ptCount val="1"/>
                <c:pt idx="0">
                  <c:v>Total</c:v>
                </c:pt>
              </c:strCache>
            </c:strRef>
          </c:tx>
          <c:spPr>
            <a:solidFill>
              <a:schemeClr val="accent1"/>
            </a:solidFill>
            <a:ln>
              <a:noFill/>
            </a:ln>
            <a:effectLst/>
          </c:spPr>
          <c:invertIfNegative val="0"/>
          <c:cat>
            <c:strRef>
              <c:f>'Sales Analysis'!$A$2:$A$5</c:f>
              <c:strCache>
                <c:ptCount val="4"/>
                <c:pt idx="0">
                  <c:v>East</c:v>
                </c:pt>
                <c:pt idx="1">
                  <c:v>North</c:v>
                </c:pt>
                <c:pt idx="2">
                  <c:v>South</c:v>
                </c:pt>
                <c:pt idx="3">
                  <c:v>West</c:v>
                </c:pt>
              </c:strCache>
            </c:strRef>
          </c:cat>
          <c:val>
            <c:numRef>
              <c:f>'Sales Analysis'!$B$2:$B$5</c:f>
              <c:numCache>
                <c:formatCode>General</c:formatCode>
                <c:ptCount val="4"/>
                <c:pt idx="0">
                  <c:v>32521733</c:v>
                </c:pt>
                <c:pt idx="1">
                  <c:v>35500572</c:v>
                </c:pt>
                <c:pt idx="2">
                  <c:v>30386396</c:v>
                </c:pt>
                <c:pt idx="3">
                  <c:v>29408814</c:v>
                </c:pt>
              </c:numCache>
            </c:numRef>
          </c:val>
        </c:ser>
        <c:dLbls>
          <c:showLegendKey val="0"/>
          <c:showVal val="0"/>
          <c:showCatName val="0"/>
          <c:showSerName val="0"/>
          <c:showPercent val="0"/>
          <c:showBubbleSize val="0"/>
        </c:dLbls>
        <c:gapWidth val="150"/>
        <c:overlap val="100"/>
        <c:axId val="729375248"/>
        <c:axId val="729381232"/>
      </c:barChart>
      <c:catAx>
        <c:axId val="72937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729381232"/>
        <c:crosses val="autoZero"/>
        <c:auto val="1"/>
        <c:lblAlgn val="ctr"/>
        <c:lblOffset val="100"/>
        <c:noMultiLvlLbl val="0"/>
      </c:catAx>
      <c:valAx>
        <c:axId val="729381232"/>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729375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[sales-dashboard.xlsx]Sales Analysis!PivotTable4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Category-wise Sales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0.11666666666666667"/>
              <c:y val="-8.3333333333333329E-2"/>
            </c:manualLayout>
          </c:layout>
          <c:tx>
            <c:rich>
              <a:bodyPr/>
              <a:lstStyle/>
              <a:p>
                <a:fld id="{96DDD312-201F-4C68-A2EE-8E2C4353C03F}" type="CATEGORYNAME">
                  <a:rPr lang="en-US" sz="1000" b="1">
                    <a:solidFill>
                      <a:schemeClr val="tx1"/>
                    </a:solidFill>
                  </a:rPr>
                  <a:pPr/>
                  <a:t>[CATEGORY NAME]</a:t>
                </a:fld>
                <a:r>
                  <a:rPr lang="en-US" sz="1000" b="1" baseline="0">
                    <a:solidFill>
                      <a:schemeClr val="tx1"/>
                    </a:solidFill>
                  </a:rPr>
                  <a:t>
</a:t>
                </a:r>
                <a:fld id="{262F2307-8F04-4571-B0A8-5153D1E79E45}" type="PERCENTAGE">
                  <a:rPr lang="en-US" sz="1000" b="1" baseline="0">
                    <a:solidFill>
                      <a:schemeClr val="tx1"/>
                    </a:solidFill>
                  </a:rPr>
                  <a:pPr/>
                  <a:t>[PERCENTAGE]</a:t>
                </a:fld>
                <a:endParaRPr lang="en-US" sz="1000" b="1"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dLbl>
          <c:idx val="0"/>
          <c:layout>
            <c:manualLayout>
              <c:x val="0.1"/>
              <c:y val="-7.407407407407407E-2"/>
            </c:manualLayout>
          </c:layout>
          <c:tx>
            <c:rich>
              <a:bodyPr/>
              <a:lstStyle/>
              <a:p>
                <a:fld id="{56B64F4B-ECEF-42E4-8D84-4F858824C239}" type="CATEGORYNAME">
                  <a:rPr lang="en-US" sz="1000" b="1">
                    <a:solidFill>
                      <a:schemeClr val="tx1"/>
                    </a:solidFill>
                  </a:rPr>
                  <a:pPr/>
                  <a:t>[CATEGORY NAME]</a:t>
                </a:fld>
                <a:r>
                  <a:rPr lang="en-US" sz="1000" b="1" baseline="0">
                    <a:solidFill>
                      <a:schemeClr val="tx1"/>
                    </a:solidFill>
                  </a:rPr>
                  <a:t>
</a:t>
                </a:r>
                <a:fld id="{2A8C870B-C2DB-47C3-A12A-9079614AD9FD}" type="PERCENTAGE">
                  <a:rPr lang="en-US" sz="1000" b="1" baseline="0">
                    <a:solidFill>
                      <a:schemeClr val="tx1"/>
                    </a:solidFill>
                  </a:rPr>
                  <a:pPr/>
                  <a:t>[PERCENTAGE]</a:t>
                </a:fld>
                <a:endParaRPr lang="en-US" sz="1000" b="1"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dLbl>
          <c:idx val="0"/>
          <c:layout>
            <c:manualLayout>
              <c:x val="0.14166666666666655"/>
              <c:y val="1.3888888888888888E-2"/>
            </c:manualLayout>
          </c:layou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0.13333333333333333"/>
              <c:y val="-1.3888888888888888E-2"/>
            </c:manualLayout>
          </c:layout>
          <c:showLegendKey val="0"/>
          <c:showVal val="0"/>
          <c:showCatName val="1"/>
          <c:showSerName val="0"/>
          <c:showPercent val="1"/>
          <c:showBubbleSize val="0"/>
          <c:extLst>
            <c:ext xmlns:c15="http://schemas.microsoft.com/office/drawing/2012/chart" uri="{CE6537A1-D6FC-4f65-9D91-7224C49458BB}"/>
          </c:extLst>
        </c:dLbl>
      </c:pivotFmt>
      <c:pivotFmt>
        <c:idx val="5"/>
        <c:dLbl>
          <c:idx val="0"/>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0.1"/>
              <c:y val="-7.407407407407407E-2"/>
            </c:manualLayout>
          </c:layout>
          <c:tx>
            <c:rich>
              <a:bodyPr/>
              <a:lstStyle/>
              <a:p>
                <a:fld id="{56B64F4B-ECEF-42E4-8D84-4F858824C239}" type="CATEGORYNAME">
                  <a:rPr lang="en-US" sz="1000" b="1">
                    <a:solidFill>
                      <a:schemeClr val="tx1"/>
                    </a:solidFill>
                  </a:rPr>
                  <a:pPr/>
                  <a:t>[CATEGORY NAME]</a:t>
                </a:fld>
                <a:r>
                  <a:rPr lang="en-US" sz="1000" b="1" baseline="0">
                    <a:solidFill>
                      <a:schemeClr val="tx1"/>
                    </a:solidFill>
                  </a:rPr>
                  <a:t>
</a:t>
                </a:r>
                <a:fld id="{2A8C870B-C2DB-47C3-A12A-9079614AD9FD}" type="PERCENTAGE">
                  <a:rPr lang="en-US" sz="1000" b="1" baseline="0">
                    <a:solidFill>
                      <a:schemeClr val="tx1"/>
                    </a:solidFill>
                  </a:rPr>
                  <a:pPr/>
                  <a:t>[PERCENTAGE]</a:t>
                </a:fld>
                <a:endParaRPr lang="en-US" sz="1000" b="1"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7"/>
        <c:dLbl>
          <c:idx val="0"/>
          <c:layout>
            <c:manualLayout>
              <c:x val="0.14166666666666655"/>
              <c:y val="1.3888888888888888E-2"/>
            </c:manualLayout>
          </c:layout>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0.13333333333333333"/>
              <c:y val="-1.3888888888888888E-2"/>
            </c:manualLayout>
          </c:layout>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0.11666666666666667"/>
              <c:y val="-8.3333333333333329E-2"/>
            </c:manualLayout>
          </c:layout>
          <c:tx>
            <c:rich>
              <a:bodyPr/>
              <a:lstStyle/>
              <a:p>
                <a:fld id="{96DDD312-201F-4C68-A2EE-8E2C4353C03F}" type="CATEGORYNAME">
                  <a:rPr lang="en-US" sz="1000" b="1">
                    <a:solidFill>
                      <a:schemeClr val="tx1"/>
                    </a:solidFill>
                  </a:rPr>
                  <a:pPr/>
                  <a:t>[CATEGORY NAME]</a:t>
                </a:fld>
                <a:r>
                  <a:rPr lang="en-US" sz="1000" b="1" baseline="0">
                    <a:solidFill>
                      <a:schemeClr val="tx1"/>
                    </a:solidFill>
                  </a:rPr>
                  <a:t>
</a:t>
                </a:r>
                <a:fld id="{262F2307-8F04-4571-B0A8-5153D1E79E45}" type="PERCENTAGE">
                  <a:rPr lang="en-US" sz="1000" b="1" baseline="0">
                    <a:solidFill>
                      <a:schemeClr val="tx1"/>
                    </a:solidFill>
                  </a:rPr>
                  <a:pPr/>
                  <a:t>[PERCENTAGE]</a:t>
                </a:fld>
                <a:endParaRPr lang="en-US" sz="1000" b="1"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0">
              <a:spAutoFit/>
            </a:bodyPr>
            <a:lstStyle/>
            <a:p>
              <a:pPr algn="ctr" rtl="0">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
              <c:y val="-7.407407407407407E-2"/>
            </c:manualLayout>
          </c:layout>
          <c:tx>
            <c:rich>
              <a:bodyPr rot="0" spcFirstLastPara="1" vertOverflow="clip" horzOverflow="clip" vert="horz" wrap="square" lIns="38100" tIns="19050" rIns="38100" bIns="19050" anchor="ctr" anchorCtr="0">
                <a:spAutoFit/>
              </a:bodyPr>
              <a:lstStyle/>
              <a:p>
                <a:pPr algn="ctr" rtl="0">
                  <a:defRPr sz="1100" b="1" i="0" u="none" strike="noStrike" kern="1200" baseline="0">
                    <a:solidFill>
                      <a:schemeClr val="tx1"/>
                    </a:solidFill>
                    <a:latin typeface="+mn-lt"/>
                    <a:ea typeface="+mn-ea"/>
                    <a:cs typeface="+mn-cs"/>
                  </a:defRPr>
                </a:pPr>
                <a:fld id="{56B64F4B-ECEF-42E4-8D84-4F858824C239}" type="CATEGORYNAME">
                  <a:rPr lang="en-US" sz="1100" b="1" i="0" u="none" strike="noStrike" kern="1200" baseline="0">
                    <a:solidFill>
                      <a:schemeClr val="tx1"/>
                    </a:solidFill>
                    <a:latin typeface="+mn-lt"/>
                    <a:ea typeface="+mn-ea"/>
                    <a:cs typeface="+mn-cs"/>
                  </a:rPr>
                  <a:pPr algn="ctr" rtl="0">
                    <a:defRPr sz="1100" b="1">
                      <a:solidFill>
                        <a:schemeClr val="tx1"/>
                      </a:solidFill>
                    </a:defRPr>
                  </a:pPr>
                  <a:t>[CATEGORY NAME]</a:t>
                </a:fld>
                <a:r>
                  <a:rPr lang="en-US" sz="1100" b="1" i="0" u="none" strike="noStrike" kern="1200" baseline="0">
                    <a:solidFill>
                      <a:schemeClr val="tx1"/>
                    </a:solidFill>
                    <a:latin typeface="+mn-lt"/>
                    <a:ea typeface="+mn-ea"/>
                    <a:cs typeface="+mn-cs"/>
                  </a:rPr>
                  <a:t>
</a:t>
                </a:r>
                <a:fld id="{2A8C870B-C2DB-47C3-A12A-9079614AD9FD}" type="PERCENTAGE">
                  <a:rPr lang="en-US" sz="1100" b="1" i="0" u="none" strike="noStrike" kern="1200" baseline="0">
                    <a:solidFill>
                      <a:schemeClr val="tx1"/>
                    </a:solidFill>
                    <a:latin typeface="+mn-lt"/>
                    <a:ea typeface="+mn-ea"/>
                    <a:cs typeface="+mn-cs"/>
                  </a:rPr>
                  <a:pPr algn="ctr" rtl="0">
                    <a:defRPr sz="1100" b="1">
                      <a:solidFill>
                        <a:schemeClr val="tx1"/>
                      </a:solidFill>
                    </a:defRPr>
                  </a:pPr>
                  <a:t>[PERCENTAGE]</a:t>
                </a:fld>
                <a:endParaRPr lang="en-US" sz="1100" b="1" i="0" u="none" strike="noStrike" kern="1200" baseline="0">
                  <a:solidFill>
                    <a:schemeClr val="tx1"/>
                  </a:solidFill>
                  <a:latin typeface="+mn-lt"/>
                  <a:ea typeface="+mn-ea"/>
                  <a:cs typeface="+mn-cs"/>
                </a:endParaRPr>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0">
              <a:spAutoFit/>
            </a:bodyPr>
            <a:lstStyle/>
            <a:p>
              <a:pPr algn="ctr" rtl="0">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
        <c:idx val="12"/>
        <c:spPr>
          <a:solidFill>
            <a:schemeClr val="accent1"/>
          </a:solidFill>
          <a:ln w="19050">
            <a:solidFill>
              <a:schemeClr val="lt1"/>
            </a:solidFill>
          </a:ln>
          <a:effectLst/>
        </c:spPr>
        <c:dLbl>
          <c:idx val="0"/>
          <c:layout>
            <c:manualLayout>
              <c:x val="0.17617054182869973"/>
              <c:y val="1.3888802563249919E-2"/>
            </c:manualLayout>
          </c:layout>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0">
              <a:spAutoFit/>
            </a:bodyPr>
            <a:lstStyle/>
            <a:p>
              <a:pPr algn="ctr" rtl="0">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26839655745365"/>
                  <c:h val="0.21565733003085966"/>
                </c:manualLayout>
              </c15:layout>
            </c:ext>
          </c:extLst>
        </c:dLbl>
      </c:pivotFmt>
      <c:pivotFmt>
        <c:idx val="13"/>
        <c:spPr>
          <a:solidFill>
            <a:schemeClr val="accent1"/>
          </a:solidFill>
          <a:ln w="19050">
            <a:solidFill>
              <a:schemeClr val="lt1"/>
            </a:solidFill>
          </a:ln>
          <a:effectLst/>
        </c:spPr>
        <c:dLbl>
          <c:idx val="0"/>
          <c:layout>
            <c:manualLayout>
              <c:x val="-0.13333333333333333"/>
              <c:y val="-1.3888888888888888E-2"/>
            </c:manualLayout>
          </c:layout>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0">
              <a:spAutoFit/>
            </a:bodyPr>
            <a:lstStyle/>
            <a:p>
              <a:pPr algn="ctr" rtl="0">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4"/>
        <c:spPr>
          <a:solidFill>
            <a:schemeClr val="accent1"/>
          </a:solidFill>
          <a:ln w="19050">
            <a:solidFill>
              <a:schemeClr val="lt1"/>
            </a:solidFill>
          </a:ln>
          <a:effectLst/>
        </c:spPr>
        <c:dLbl>
          <c:idx val="0"/>
          <c:layout>
            <c:manualLayout>
              <c:x val="-0.11666666666666667"/>
              <c:y val="-8.3333333333333329E-2"/>
            </c:manualLayout>
          </c:layout>
          <c:tx>
            <c:rich>
              <a:bodyPr rot="0" spcFirstLastPara="1" vertOverflow="clip" horzOverflow="clip" vert="horz" wrap="square" lIns="38100" tIns="19050" rIns="38100" bIns="19050" anchor="ctr" anchorCtr="0">
                <a:spAutoFit/>
              </a:bodyPr>
              <a:lstStyle/>
              <a:p>
                <a:pPr algn="ctr" rtl="0">
                  <a:defRPr sz="1100" b="1" i="0" u="none" strike="noStrike" kern="1200" baseline="0">
                    <a:solidFill>
                      <a:schemeClr val="tx1"/>
                    </a:solidFill>
                    <a:latin typeface="+mn-lt"/>
                    <a:ea typeface="+mn-ea"/>
                    <a:cs typeface="+mn-cs"/>
                  </a:defRPr>
                </a:pPr>
                <a:fld id="{96DDD312-201F-4C68-A2EE-8E2C4353C03F}" type="CATEGORYNAME">
                  <a:rPr lang="en-US" sz="1100" b="1">
                    <a:solidFill>
                      <a:schemeClr val="tx1"/>
                    </a:solidFill>
                  </a:rPr>
                  <a:pPr algn="ctr" rtl="0">
                    <a:defRPr sz="1100" b="1">
                      <a:solidFill>
                        <a:schemeClr val="tx1"/>
                      </a:solidFill>
                    </a:defRPr>
                  </a:pPr>
                  <a:t>[CATEGORY NAME]</a:t>
                </a:fld>
                <a:r>
                  <a:rPr lang="en-US" sz="1100" b="1">
                    <a:solidFill>
                      <a:schemeClr val="tx1"/>
                    </a:solidFill>
                  </a:rPr>
                  <a:t>
</a:t>
                </a:r>
                <a:fld id="{262F2307-8F04-4571-B0A8-5153D1E79E45}" type="PERCENTAGE">
                  <a:rPr lang="en-US" sz="1100" b="1">
                    <a:solidFill>
                      <a:schemeClr val="tx1"/>
                    </a:solidFill>
                  </a:rPr>
                  <a:pPr algn="ctr" rtl="0">
                    <a:defRPr sz="1100" b="1">
                      <a:solidFill>
                        <a:schemeClr val="tx1"/>
                      </a:solidFill>
                    </a:defRPr>
                  </a:pPr>
                  <a:t>[PERCENTAGE]</a:t>
                </a:fld>
                <a:endParaRPr lang="en-US" sz="1100" b="1">
                  <a:solidFill>
                    <a:schemeClr val="tx1"/>
                  </a:solidFill>
                </a:endParaRPr>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0">
              <a:spAutoFit/>
            </a:bodyPr>
            <a:lstStyle/>
            <a:p>
              <a:pPr algn="ctr" rtl="0">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s>
    <c:plotArea>
      <c:layout/>
      <c:doughnutChart>
        <c:varyColors val="1"/>
        <c:ser>
          <c:idx val="0"/>
          <c:order val="0"/>
          <c:tx>
            <c:strRef>
              <c:f>'Sales Analysis'!$K$1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dLbl>
              <c:idx val="0"/>
              <c:layout>
                <c:manualLayout>
                  <c:x val="0.1"/>
                  <c:y val="-7.407407407407407E-2"/>
                </c:manualLayout>
              </c:layout>
              <c:tx>
                <c:rich>
                  <a:bodyPr/>
                  <a:lstStyle/>
                  <a:p>
                    <a:fld id="{56B64F4B-ECEF-42E4-8D84-4F858824C239}" type="CATEGORYNAME">
                      <a:rPr lang="en-US" sz="1100" b="1" i="0" u="none" strike="noStrike" kern="1200" baseline="0">
                        <a:solidFill>
                          <a:schemeClr val="tx1"/>
                        </a:solidFill>
                        <a:latin typeface="+mn-lt"/>
                        <a:ea typeface="+mn-ea"/>
                        <a:cs typeface="+mn-cs"/>
                      </a:rPr>
                      <a:pPr/>
                      <a:t>[CATEGORY NAME]</a:t>
                    </a:fld>
                    <a:r>
                      <a:rPr lang="en-US" sz="1100" b="1" i="0" u="none" strike="noStrike" kern="1200" baseline="0">
                        <a:solidFill>
                          <a:schemeClr val="tx1"/>
                        </a:solidFill>
                        <a:latin typeface="+mn-lt"/>
                        <a:ea typeface="+mn-ea"/>
                        <a:cs typeface="+mn-cs"/>
                      </a:rPr>
                      <a:t>
</a:t>
                    </a:r>
                    <a:fld id="{2A8C870B-C2DB-47C3-A12A-9079614AD9FD}" type="PERCENTAGE">
                      <a:rPr lang="en-US" sz="1100" b="1" i="0" u="none" strike="noStrike" kern="1200" baseline="0">
                        <a:solidFill>
                          <a:schemeClr val="tx1"/>
                        </a:solidFill>
                        <a:latin typeface="+mn-lt"/>
                        <a:ea typeface="+mn-ea"/>
                        <a:cs typeface="+mn-cs"/>
                      </a:rPr>
                      <a:pPr/>
                      <a:t>[PERCENTAGE]</a:t>
                    </a:fld>
                    <a:endParaRPr lang="en-US" sz="1100" b="1" i="0" u="none" strike="noStrike" kern="1200" baseline="0">
                      <a:solidFill>
                        <a:schemeClr val="tx1"/>
                      </a:solidFill>
                      <a:latin typeface="+mn-lt"/>
                      <a:ea typeface="+mn-ea"/>
                      <a:cs typeface="+mn-cs"/>
                    </a:endParaRPr>
                  </a:p>
                </c:rich>
              </c:tx>
              <c:showLegendKey val="0"/>
              <c:showVal val="0"/>
              <c:showCatName val="1"/>
              <c:showSerName val="0"/>
              <c:showPercent val="1"/>
              <c:showBubbleSize val="0"/>
              <c:extLst>
                <c:ext xmlns:c15="http://schemas.microsoft.com/office/drawing/2012/chart" uri="{CE6537A1-D6FC-4f65-9D91-7224C49458BB}">
                  <c15:layout/>
                  <c15:dlblFieldTable/>
                  <c15:showDataLabelsRange val="0"/>
                </c:ext>
              </c:extLst>
            </c:dLbl>
            <c:dLbl>
              <c:idx val="1"/>
              <c:layout>
                <c:manualLayout>
                  <c:x val="0.17617054182869973"/>
                  <c:y val="1.3888802563249919E-2"/>
                </c:manualLayout>
              </c:layout>
              <c:showLegendKey val="0"/>
              <c:showVal val="0"/>
              <c:showCatName val="1"/>
              <c:showSerName val="0"/>
              <c:showPercent val="1"/>
              <c:showBubbleSize val="0"/>
              <c:extLst>
                <c:ext xmlns:c15="http://schemas.microsoft.com/office/drawing/2012/chart" uri="{CE6537A1-D6FC-4f65-9D91-7224C49458BB}">
                  <c15:layout>
                    <c:manualLayout>
                      <c:w val="0.2126839655745365"/>
                      <c:h val="0.21565733003085966"/>
                    </c:manualLayout>
                  </c15:layout>
                </c:ext>
              </c:extLst>
            </c:dLbl>
            <c:dLbl>
              <c:idx val="2"/>
              <c:layout>
                <c:manualLayout>
                  <c:x val="-0.13333333333333333"/>
                  <c:y val="-1.3888888888888888E-2"/>
                </c:manualLayout>
              </c:layout>
              <c:showLegendKey val="0"/>
              <c:showVal val="0"/>
              <c:showCatName val="1"/>
              <c:showSerName val="0"/>
              <c:showPercent val="1"/>
              <c:showBubbleSize val="0"/>
              <c:extLst>
                <c:ext xmlns:c15="http://schemas.microsoft.com/office/drawing/2012/chart" uri="{CE6537A1-D6FC-4f65-9D91-7224C49458BB}">
                  <c15:layout/>
                </c:ext>
              </c:extLst>
            </c:dLbl>
            <c:dLbl>
              <c:idx val="3"/>
              <c:layout>
                <c:manualLayout>
                  <c:x val="-0.11666666666666667"/>
                  <c:y val="-8.3333333333333329E-2"/>
                </c:manualLayout>
              </c:layout>
              <c:tx>
                <c:rich>
                  <a:bodyPr/>
                  <a:lstStyle/>
                  <a:p>
                    <a:fld id="{96DDD312-201F-4C68-A2EE-8E2C4353C03F}" type="CATEGORYNAME">
                      <a:rPr lang="en-US" sz="1100" b="1">
                        <a:solidFill>
                          <a:schemeClr val="tx1"/>
                        </a:solidFill>
                      </a:rPr>
                      <a:pPr/>
                      <a:t>[CATEGORY NAME]</a:t>
                    </a:fld>
                    <a:r>
                      <a:rPr lang="en-US" sz="1100" b="1">
                        <a:solidFill>
                          <a:schemeClr val="tx1"/>
                        </a:solidFill>
                      </a:rPr>
                      <a:t>
</a:t>
                    </a:r>
                    <a:fld id="{262F2307-8F04-4571-B0A8-5153D1E79E45}" type="PERCENTAGE">
                      <a:rPr lang="en-US" sz="1100" b="1">
                        <a:solidFill>
                          <a:schemeClr val="tx1"/>
                        </a:solidFill>
                      </a:rPr>
                      <a:pPr/>
                      <a:t>[PERCENTAGE]</a:t>
                    </a:fld>
                    <a:endParaRPr lang="en-US" sz="1100" b="1">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layout/>
                  <c15:dlblFieldTable/>
                  <c15:showDataLabelsRange val="0"/>
                </c:ext>
              </c:extLst>
            </c:dLbl>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0">
                <a:spAutoFit/>
              </a:bodyPr>
              <a:lstStyle/>
              <a:p>
                <a:pPr algn="ctr" rtl="0">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Analysis'!$J$2:$J$5</c:f>
              <c:strCache>
                <c:ptCount val="4"/>
                <c:pt idx="0">
                  <c:v>Clothing</c:v>
                </c:pt>
                <c:pt idx="1">
                  <c:v>Electronics</c:v>
                </c:pt>
                <c:pt idx="2">
                  <c:v>Furniture</c:v>
                </c:pt>
                <c:pt idx="3">
                  <c:v>Grocery</c:v>
                </c:pt>
              </c:strCache>
            </c:strRef>
          </c:cat>
          <c:val>
            <c:numRef>
              <c:f>'Sales Analysis'!$K$2:$K$5</c:f>
              <c:numCache>
                <c:formatCode>0.00%</c:formatCode>
                <c:ptCount val="4"/>
                <c:pt idx="0">
                  <c:v>0.2475651556830846</c:v>
                </c:pt>
                <c:pt idx="1">
                  <c:v>0.26001720499729636</c:v>
                </c:pt>
                <c:pt idx="2">
                  <c:v>0.27071501898624772</c:v>
                </c:pt>
                <c:pt idx="3">
                  <c:v>0.22170262033337138</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[sales-dashboard.xlsx]Product Performance!PivotTable19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vs Profit</a:t>
            </a:r>
            <a:endParaRPr lang="en-US" b="1">
              <a:solidFill>
                <a:schemeClr val="tx1"/>
              </a:solidFill>
            </a:endParaRPr>
          </a:p>
        </c:rich>
      </c:tx>
      <c:layout>
        <c:manualLayout>
          <c:xMode val="edge"/>
          <c:yMode val="edge"/>
          <c:x val="0.27385079273102236"/>
          <c:y val="7.8078041153890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0633039158695767"/>
          <c:y val="0.28239681150967239"/>
          <c:w val="0.84166745935281595"/>
          <c:h val="0.48813687177991638"/>
        </c:manualLayout>
      </c:layout>
      <c:barChart>
        <c:barDir val="col"/>
        <c:grouping val="clustered"/>
        <c:varyColors val="0"/>
        <c:ser>
          <c:idx val="0"/>
          <c:order val="0"/>
          <c:tx>
            <c:strRef>
              <c:f>'Product Performance'!$E$1</c:f>
              <c:strCache>
                <c:ptCount val="1"/>
                <c:pt idx="0">
                  <c:v>Sum of Sales</c:v>
                </c:pt>
              </c:strCache>
            </c:strRef>
          </c:tx>
          <c:spPr>
            <a:solidFill>
              <a:schemeClr val="accent1"/>
            </a:solidFill>
            <a:ln>
              <a:noFill/>
            </a:ln>
            <a:effectLst/>
          </c:spPr>
          <c:invertIfNegative val="0"/>
          <c:cat>
            <c:strRef>
              <c:f>'Product Performance'!$D$2:$D$9</c:f>
              <c:strCache>
                <c:ptCount val="8"/>
                <c:pt idx="0">
                  <c:v>Beverages</c:v>
                </c:pt>
                <c:pt idx="1">
                  <c:v>Chair</c:v>
                </c:pt>
                <c:pt idx="2">
                  <c:v>Jeans</c:v>
                </c:pt>
                <c:pt idx="3">
                  <c:v>Laptop</c:v>
                </c:pt>
                <c:pt idx="4">
                  <c:v>Mobile</c:v>
                </c:pt>
                <c:pt idx="5">
                  <c:v>Shirt</c:v>
                </c:pt>
                <c:pt idx="6">
                  <c:v>Snacks</c:v>
                </c:pt>
                <c:pt idx="7">
                  <c:v>Table</c:v>
                </c:pt>
              </c:strCache>
            </c:strRef>
          </c:cat>
          <c:val>
            <c:numRef>
              <c:f>'Product Performance'!$E$2:$E$9</c:f>
              <c:numCache>
                <c:formatCode>General</c:formatCode>
                <c:ptCount val="8"/>
                <c:pt idx="0">
                  <c:v>18993859</c:v>
                </c:pt>
                <c:pt idx="1">
                  <c:v>16459280</c:v>
                </c:pt>
                <c:pt idx="2">
                  <c:v>20261367</c:v>
                </c:pt>
                <c:pt idx="3">
                  <c:v>14261031</c:v>
                </c:pt>
                <c:pt idx="4">
                  <c:v>16193351</c:v>
                </c:pt>
                <c:pt idx="5">
                  <c:v>11371518</c:v>
                </c:pt>
                <c:pt idx="6">
                  <c:v>15324679</c:v>
                </c:pt>
                <c:pt idx="7">
                  <c:v>14952430</c:v>
                </c:pt>
              </c:numCache>
            </c:numRef>
          </c:val>
        </c:ser>
        <c:dLbls>
          <c:showLegendKey val="0"/>
          <c:showVal val="0"/>
          <c:showCatName val="0"/>
          <c:showSerName val="0"/>
          <c:showPercent val="0"/>
          <c:showBubbleSize val="0"/>
        </c:dLbls>
        <c:gapWidth val="219"/>
        <c:overlap val="-27"/>
        <c:axId val="729376336"/>
        <c:axId val="729382864"/>
      </c:barChart>
      <c:lineChart>
        <c:grouping val="stacked"/>
        <c:varyColors val="0"/>
        <c:ser>
          <c:idx val="1"/>
          <c:order val="1"/>
          <c:tx>
            <c:strRef>
              <c:f>'Product Performance'!$F$1</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'Product Performance'!$D$2:$D$9</c:f>
              <c:strCache>
                <c:ptCount val="8"/>
                <c:pt idx="0">
                  <c:v>Beverages</c:v>
                </c:pt>
                <c:pt idx="1">
                  <c:v>Chair</c:v>
                </c:pt>
                <c:pt idx="2">
                  <c:v>Jeans</c:v>
                </c:pt>
                <c:pt idx="3">
                  <c:v>Laptop</c:v>
                </c:pt>
                <c:pt idx="4">
                  <c:v>Mobile</c:v>
                </c:pt>
                <c:pt idx="5">
                  <c:v>Shirt</c:v>
                </c:pt>
                <c:pt idx="6">
                  <c:v>Snacks</c:v>
                </c:pt>
                <c:pt idx="7">
                  <c:v>Table</c:v>
                </c:pt>
              </c:strCache>
            </c:strRef>
          </c:cat>
          <c:val>
            <c:numRef>
              <c:f>'Product Performance'!$F$2:$F$9</c:f>
              <c:numCache>
                <c:formatCode>General</c:formatCode>
                <c:ptCount val="8"/>
                <c:pt idx="0">
                  <c:v>16902127.600000001</c:v>
                </c:pt>
                <c:pt idx="1">
                  <c:v>14872944.649999999</c:v>
                </c:pt>
                <c:pt idx="2">
                  <c:v>18209767.550000008</c:v>
                </c:pt>
                <c:pt idx="3">
                  <c:v>13061663.400000002</c:v>
                </c:pt>
                <c:pt idx="4">
                  <c:v>14600976.400000004</c:v>
                </c:pt>
                <c:pt idx="5">
                  <c:v>10190773.35</c:v>
                </c:pt>
                <c:pt idx="6">
                  <c:v>13738348.6</c:v>
                </c:pt>
                <c:pt idx="7">
                  <c:v>13232444.249999996</c:v>
                </c:pt>
              </c:numCache>
            </c:numRef>
          </c:val>
          <c:smooth val="0"/>
        </c:ser>
        <c:dLbls>
          <c:showLegendKey val="0"/>
          <c:showVal val="0"/>
          <c:showCatName val="0"/>
          <c:showSerName val="0"/>
          <c:showPercent val="0"/>
          <c:showBubbleSize val="0"/>
        </c:dLbls>
        <c:marker val="1"/>
        <c:smooth val="0"/>
        <c:axId val="729376336"/>
        <c:axId val="729382864"/>
      </c:lineChart>
      <c:catAx>
        <c:axId val="72937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729382864"/>
        <c:crosses val="autoZero"/>
        <c:auto val="1"/>
        <c:lblAlgn val="ctr"/>
        <c:lblOffset val="100"/>
        <c:noMultiLvlLbl val="0"/>
      </c:catAx>
      <c:valAx>
        <c:axId val="729382864"/>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729376336"/>
        <c:crosses val="autoZero"/>
        <c:crossBetween val="between"/>
      </c:valAx>
      <c:spPr>
        <a:noFill/>
        <a:ln>
          <a:noFill/>
        </a:ln>
        <a:effectLst/>
      </c:spPr>
    </c:plotArea>
    <c:legend>
      <c:legendPos val="r"/>
      <c:layout>
        <c:manualLayout>
          <c:xMode val="edge"/>
          <c:yMode val="edge"/>
          <c:x val="0.51072425601730409"/>
          <c:y val="4.2831315016757694E-2"/>
          <c:w val="0.45848378707136889"/>
          <c:h val="0.1459123000580265"/>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[sales-dashboard.xlsx]Product Performance!PivotTable17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Product by Quantity</a:t>
            </a:r>
            <a:endParaRPr lang="en-US" b="1">
              <a:solidFill>
                <a:schemeClr val="tx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'Product Performance'!$B$1</c:f>
              <c:strCache>
                <c:ptCount val="1"/>
                <c:pt idx="0">
                  <c:v>Total</c:v>
                </c:pt>
              </c:strCache>
            </c:strRef>
          </c:tx>
          <c:spPr>
            <a:solidFill>
              <a:schemeClr val="accent1"/>
            </a:solidFill>
            <a:ln>
              <a:noFill/>
            </a:ln>
            <a:effectLst/>
          </c:spPr>
          <c:invertIfNegative val="0"/>
          <c:cat>
            <c:strRef>
              <c:f>'Product Performance'!$A$2:$A$6</c:f>
              <c:strCache>
                <c:ptCount val="5"/>
                <c:pt idx="0">
                  <c:v>Beverages</c:v>
                </c:pt>
                <c:pt idx="1">
                  <c:v>Chair</c:v>
                </c:pt>
                <c:pt idx="2">
                  <c:v>Jeans</c:v>
                </c:pt>
                <c:pt idx="3">
                  <c:v>Mobile</c:v>
                </c:pt>
                <c:pt idx="4">
                  <c:v>Table</c:v>
                </c:pt>
              </c:strCache>
            </c:strRef>
          </c:cat>
          <c:val>
            <c:numRef>
              <c:f>'Product Performance'!$B$2:$B$6</c:f>
              <c:numCache>
                <c:formatCode>General</c:formatCode>
                <c:ptCount val="5"/>
                <c:pt idx="0">
                  <c:v>726</c:v>
                </c:pt>
                <c:pt idx="1">
                  <c:v>657</c:v>
                </c:pt>
                <c:pt idx="2">
                  <c:v>741</c:v>
                </c:pt>
                <c:pt idx="3">
                  <c:v>628</c:v>
                </c:pt>
                <c:pt idx="4">
                  <c:v>649</c:v>
                </c:pt>
              </c:numCache>
            </c:numRef>
          </c:val>
        </c:ser>
        <c:dLbls>
          <c:showLegendKey val="0"/>
          <c:showVal val="0"/>
          <c:showCatName val="0"/>
          <c:showSerName val="0"/>
          <c:showPercent val="0"/>
          <c:showBubbleSize val="0"/>
        </c:dLbls>
        <c:gapWidth val="182"/>
        <c:axId val="729383952"/>
        <c:axId val="729384496"/>
      </c:barChart>
      <c:catAx>
        <c:axId val="729383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729384496"/>
        <c:crosses val="autoZero"/>
        <c:auto val="1"/>
        <c:lblAlgn val="ctr"/>
        <c:lblOffset val="100"/>
        <c:noMultiLvlLbl val="0"/>
      </c:catAx>
      <c:valAx>
        <c:axId val="729384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729383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[sales-dashboard.xlsx]Sales 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 by</a:t>
            </a:r>
            <a:r>
              <a:rPr lang="en-US" b="1" baseline="0">
                <a:solidFill>
                  <a:schemeClr val="tx1"/>
                </a:solidFill>
              </a:rPr>
              <a:t> Country</a:t>
            </a:r>
            <a:endParaRPr lang="en-US" b="1">
              <a:solidFill>
                <a:schemeClr val="tx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stacked"/>
        <c:varyColors val="0"/>
        <c:ser>
          <c:idx val="0"/>
          <c:order val="0"/>
          <c:tx>
            <c:strRef>
              <c:f>'Sales Analysis'!$E$1</c:f>
              <c:strCache>
                <c:ptCount val="1"/>
                <c:pt idx="0">
                  <c:v>Total</c:v>
                </c:pt>
              </c:strCache>
            </c:strRef>
          </c:tx>
          <c:spPr>
            <a:solidFill>
              <a:schemeClr val="accent1"/>
            </a:solidFill>
            <a:ln>
              <a:noFill/>
            </a:ln>
            <a:effectLst/>
          </c:spPr>
          <c:invertIfNegative val="0"/>
          <c:cat>
            <c:strRef>
              <c:f>'Sales Analysis'!$D$2:$D$6</c:f>
              <c:strCache>
                <c:ptCount val="5"/>
                <c:pt idx="0">
                  <c:v>Australia</c:v>
                </c:pt>
                <c:pt idx="1">
                  <c:v>Canada</c:v>
                </c:pt>
                <c:pt idx="2">
                  <c:v>India</c:v>
                </c:pt>
                <c:pt idx="3">
                  <c:v>UK</c:v>
                </c:pt>
                <c:pt idx="4">
                  <c:v>USA</c:v>
                </c:pt>
              </c:strCache>
            </c:strRef>
          </c:cat>
          <c:val>
            <c:numRef>
              <c:f>'Sales Analysis'!$E$2:$E$6</c:f>
              <c:numCache>
                <c:formatCode>General</c:formatCode>
                <c:ptCount val="5"/>
                <c:pt idx="0">
                  <c:v>22987517</c:v>
                </c:pt>
                <c:pt idx="1">
                  <c:v>31188244</c:v>
                </c:pt>
                <c:pt idx="2">
                  <c:v>21452815</c:v>
                </c:pt>
                <c:pt idx="3">
                  <c:v>27666204</c:v>
                </c:pt>
                <c:pt idx="4">
                  <c:v>24522735</c:v>
                </c:pt>
              </c:numCache>
            </c:numRef>
          </c:val>
        </c:ser>
        <c:dLbls>
          <c:showLegendKey val="0"/>
          <c:showVal val="0"/>
          <c:showCatName val="0"/>
          <c:showSerName val="0"/>
          <c:showPercent val="0"/>
          <c:showBubbleSize val="0"/>
        </c:dLbls>
        <c:gapWidth val="150"/>
        <c:overlap val="100"/>
        <c:axId val="768196400"/>
        <c:axId val="768196944"/>
      </c:barChart>
      <c:catAx>
        <c:axId val="7681964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768196944"/>
        <c:crosses val="autoZero"/>
        <c:auto val="1"/>
        <c:lblAlgn val="ctr"/>
        <c:lblOffset val="100"/>
        <c:noMultiLvlLbl val="0"/>
      </c:catAx>
      <c:valAx>
        <c:axId val="768196944"/>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7681964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141195</xdr:colOff>
      <xdr:row>1</xdr:row>
      <xdr:rowOff>89649</xdr:rowOff>
    </xdr:from>
    <xdr:to>
      <xdr:col>28</xdr:col>
      <xdr:colOff>313765</xdr:colOff>
      <xdr:row>38</xdr:row>
      <xdr:rowOff>44825</xdr:rowOff>
    </xdr:to>
    <xdr:sp macro="" textlink="">
      <xdr:nvSpPr>
        <xdr:cNvPr id="2" name="Rounded Rectangle 1"/>
        <xdr:cNvSpPr/>
      </xdr:nvSpPr>
      <xdr:spPr>
        <a:xfrm>
          <a:off x="141195" y="280149"/>
          <a:ext cx="17115864" cy="7003676"/>
        </a:xfrm>
        <a:custGeom>
          <a:avLst/>
          <a:gdLst>
            <a:gd name="connsiteX0" fmla="*/ 0 w 14316074"/>
            <a:gd name="connsiteY0" fmla="*/ 1014020 h 6084000"/>
            <a:gd name="connsiteX1" fmla="*/ 1014020 w 14316074"/>
            <a:gd name="connsiteY1" fmla="*/ 0 h 6084000"/>
            <a:gd name="connsiteX2" fmla="*/ 13302054 w 14316074"/>
            <a:gd name="connsiteY2" fmla="*/ 0 h 6084000"/>
            <a:gd name="connsiteX3" fmla="*/ 14316074 w 14316074"/>
            <a:gd name="connsiteY3" fmla="*/ 1014020 h 6084000"/>
            <a:gd name="connsiteX4" fmla="*/ 14316074 w 14316074"/>
            <a:gd name="connsiteY4" fmla="*/ 5069980 h 6084000"/>
            <a:gd name="connsiteX5" fmla="*/ 13302054 w 14316074"/>
            <a:gd name="connsiteY5" fmla="*/ 6084000 h 6084000"/>
            <a:gd name="connsiteX6" fmla="*/ 1014020 w 14316074"/>
            <a:gd name="connsiteY6" fmla="*/ 6084000 h 6084000"/>
            <a:gd name="connsiteX7" fmla="*/ 0 w 14316074"/>
            <a:gd name="connsiteY7" fmla="*/ 5069980 h 6084000"/>
            <a:gd name="connsiteX8" fmla="*/ 0 w 14316074"/>
            <a:gd name="connsiteY8" fmla="*/ 1014020 h 6084000"/>
            <a:gd name="connsiteX0" fmla="*/ 0 w 14335124"/>
            <a:gd name="connsiteY0" fmla="*/ 1014020 h 6084000"/>
            <a:gd name="connsiteX1" fmla="*/ 1014020 w 14335124"/>
            <a:gd name="connsiteY1" fmla="*/ 0 h 6084000"/>
            <a:gd name="connsiteX2" fmla="*/ 13302054 w 14335124"/>
            <a:gd name="connsiteY2" fmla="*/ 0 h 6084000"/>
            <a:gd name="connsiteX3" fmla="*/ 14335124 w 14335124"/>
            <a:gd name="connsiteY3" fmla="*/ 604445 h 6084000"/>
            <a:gd name="connsiteX4" fmla="*/ 14316074 w 14335124"/>
            <a:gd name="connsiteY4" fmla="*/ 5069980 h 6084000"/>
            <a:gd name="connsiteX5" fmla="*/ 13302054 w 14335124"/>
            <a:gd name="connsiteY5" fmla="*/ 6084000 h 6084000"/>
            <a:gd name="connsiteX6" fmla="*/ 1014020 w 14335124"/>
            <a:gd name="connsiteY6" fmla="*/ 6084000 h 6084000"/>
            <a:gd name="connsiteX7" fmla="*/ 0 w 14335124"/>
            <a:gd name="connsiteY7" fmla="*/ 5069980 h 6084000"/>
            <a:gd name="connsiteX8" fmla="*/ 0 w 14335124"/>
            <a:gd name="connsiteY8" fmla="*/ 1014020 h 6084000"/>
            <a:gd name="connsiteX0" fmla="*/ 28575 w 14335124"/>
            <a:gd name="connsiteY0" fmla="*/ 604445 h 6084000"/>
            <a:gd name="connsiteX1" fmla="*/ 1014020 w 14335124"/>
            <a:gd name="connsiteY1" fmla="*/ 0 h 6084000"/>
            <a:gd name="connsiteX2" fmla="*/ 13302054 w 14335124"/>
            <a:gd name="connsiteY2" fmla="*/ 0 h 6084000"/>
            <a:gd name="connsiteX3" fmla="*/ 14335124 w 14335124"/>
            <a:gd name="connsiteY3" fmla="*/ 604445 h 6084000"/>
            <a:gd name="connsiteX4" fmla="*/ 14316074 w 14335124"/>
            <a:gd name="connsiteY4" fmla="*/ 5069980 h 6084000"/>
            <a:gd name="connsiteX5" fmla="*/ 13302054 w 14335124"/>
            <a:gd name="connsiteY5" fmla="*/ 6084000 h 6084000"/>
            <a:gd name="connsiteX6" fmla="*/ 1014020 w 14335124"/>
            <a:gd name="connsiteY6" fmla="*/ 6084000 h 6084000"/>
            <a:gd name="connsiteX7" fmla="*/ 0 w 14335124"/>
            <a:gd name="connsiteY7" fmla="*/ 5069980 h 6084000"/>
            <a:gd name="connsiteX8" fmla="*/ 28575 w 14335124"/>
            <a:gd name="connsiteY8" fmla="*/ 604445 h 6084000"/>
            <a:gd name="connsiteX0" fmla="*/ 85725 w 14392274"/>
            <a:gd name="connsiteY0" fmla="*/ 604445 h 6084682"/>
            <a:gd name="connsiteX1" fmla="*/ 1071170 w 14392274"/>
            <a:gd name="connsiteY1" fmla="*/ 0 h 6084682"/>
            <a:gd name="connsiteX2" fmla="*/ 13359204 w 14392274"/>
            <a:gd name="connsiteY2" fmla="*/ 0 h 6084682"/>
            <a:gd name="connsiteX3" fmla="*/ 14392274 w 14392274"/>
            <a:gd name="connsiteY3" fmla="*/ 604445 h 6084682"/>
            <a:gd name="connsiteX4" fmla="*/ 14373224 w 14392274"/>
            <a:gd name="connsiteY4" fmla="*/ 5069980 h 6084682"/>
            <a:gd name="connsiteX5" fmla="*/ 13359204 w 14392274"/>
            <a:gd name="connsiteY5" fmla="*/ 6084000 h 6084682"/>
            <a:gd name="connsiteX6" fmla="*/ 1071170 w 14392274"/>
            <a:gd name="connsiteY6" fmla="*/ 6084000 h 6084682"/>
            <a:gd name="connsiteX7" fmla="*/ 0 w 14392274"/>
            <a:gd name="connsiteY7" fmla="*/ 5565280 h 6084682"/>
            <a:gd name="connsiteX8" fmla="*/ 85725 w 14392274"/>
            <a:gd name="connsiteY8" fmla="*/ 604445 h 6084682"/>
            <a:gd name="connsiteX0" fmla="*/ 85725 w 14430374"/>
            <a:gd name="connsiteY0" fmla="*/ 604445 h 6084682"/>
            <a:gd name="connsiteX1" fmla="*/ 1071170 w 14430374"/>
            <a:gd name="connsiteY1" fmla="*/ 0 h 6084682"/>
            <a:gd name="connsiteX2" fmla="*/ 13359204 w 14430374"/>
            <a:gd name="connsiteY2" fmla="*/ 0 h 6084682"/>
            <a:gd name="connsiteX3" fmla="*/ 14392274 w 14430374"/>
            <a:gd name="connsiteY3" fmla="*/ 604445 h 6084682"/>
            <a:gd name="connsiteX4" fmla="*/ 14430374 w 14430374"/>
            <a:gd name="connsiteY4" fmla="*/ 5155705 h 6084682"/>
            <a:gd name="connsiteX5" fmla="*/ 13359204 w 14430374"/>
            <a:gd name="connsiteY5" fmla="*/ 6084000 h 6084682"/>
            <a:gd name="connsiteX6" fmla="*/ 1071170 w 14430374"/>
            <a:gd name="connsiteY6" fmla="*/ 6084000 h 6084682"/>
            <a:gd name="connsiteX7" fmla="*/ 0 w 14430374"/>
            <a:gd name="connsiteY7" fmla="*/ 5565280 h 6084682"/>
            <a:gd name="connsiteX8" fmla="*/ 85725 w 14430374"/>
            <a:gd name="connsiteY8" fmla="*/ 604445 h 6084682"/>
            <a:gd name="connsiteX0" fmla="*/ 85725 w 14430374"/>
            <a:gd name="connsiteY0" fmla="*/ 604445 h 6084682"/>
            <a:gd name="connsiteX1" fmla="*/ 1071170 w 14430374"/>
            <a:gd name="connsiteY1" fmla="*/ 0 h 6084682"/>
            <a:gd name="connsiteX2" fmla="*/ 13359204 w 14430374"/>
            <a:gd name="connsiteY2" fmla="*/ 0 h 6084682"/>
            <a:gd name="connsiteX3" fmla="*/ 14392274 w 14430374"/>
            <a:gd name="connsiteY3" fmla="*/ 604445 h 6084682"/>
            <a:gd name="connsiteX4" fmla="*/ 14430374 w 14430374"/>
            <a:gd name="connsiteY4" fmla="*/ 5155705 h 6084682"/>
            <a:gd name="connsiteX5" fmla="*/ 13797354 w 14430374"/>
            <a:gd name="connsiteY5" fmla="*/ 6074475 h 6084682"/>
            <a:gd name="connsiteX6" fmla="*/ 1071170 w 14430374"/>
            <a:gd name="connsiteY6" fmla="*/ 6084000 h 6084682"/>
            <a:gd name="connsiteX7" fmla="*/ 0 w 14430374"/>
            <a:gd name="connsiteY7" fmla="*/ 5565280 h 6084682"/>
            <a:gd name="connsiteX8" fmla="*/ 85725 w 14430374"/>
            <a:gd name="connsiteY8" fmla="*/ 604445 h 6084682"/>
            <a:gd name="connsiteX0" fmla="*/ 85725 w 14431574"/>
            <a:gd name="connsiteY0" fmla="*/ 604445 h 6103050"/>
            <a:gd name="connsiteX1" fmla="*/ 1071170 w 14431574"/>
            <a:gd name="connsiteY1" fmla="*/ 0 h 6103050"/>
            <a:gd name="connsiteX2" fmla="*/ 13359204 w 14431574"/>
            <a:gd name="connsiteY2" fmla="*/ 0 h 6103050"/>
            <a:gd name="connsiteX3" fmla="*/ 14392274 w 14431574"/>
            <a:gd name="connsiteY3" fmla="*/ 604445 h 6103050"/>
            <a:gd name="connsiteX4" fmla="*/ 14430374 w 14431574"/>
            <a:gd name="connsiteY4" fmla="*/ 5155705 h 6103050"/>
            <a:gd name="connsiteX5" fmla="*/ 13921179 w 14431574"/>
            <a:gd name="connsiteY5" fmla="*/ 6103050 h 6103050"/>
            <a:gd name="connsiteX6" fmla="*/ 1071170 w 14431574"/>
            <a:gd name="connsiteY6" fmla="*/ 6084000 h 6103050"/>
            <a:gd name="connsiteX7" fmla="*/ 0 w 14431574"/>
            <a:gd name="connsiteY7" fmla="*/ 5565280 h 6103050"/>
            <a:gd name="connsiteX8" fmla="*/ 85725 w 14431574"/>
            <a:gd name="connsiteY8" fmla="*/ 604445 h 6103050"/>
            <a:gd name="connsiteX0" fmla="*/ 9525 w 14431574"/>
            <a:gd name="connsiteY0" fmla="*/ 661595 h 6103050"/>
            <a:gd name="connsiteX1" fmla="*/ 1071170 w 14431574"/>
            <a:gd name="connsiteY1" fmla="*/ 0 h 6103050"/>
            <a:gd name="connsiteX2" fmla="*/ 13359204 w 14431574"/>
            <a:gd name="connsiteY2" fmla="*/ 0 h 6103050"/>
            <a:gd name="connsiteX3" fmla="*/ 14392274 w 14431574"/>
            <a:gd name="connsiteY3" fmla="*/ 604445 h 6103050"/>
            <a:gd name="connsiteX4" fmla="*/ 14430374 w 14431574"/>
            <a:gd name="connsiteY4" fmla="*/ 5155705 h 6103050"/>
            <a:gd name="connsiteX5" fmla="*/ 13921179 w 14431574"/>
            <a:gd name="connsiteY5" fmla="*/ 6103050 h 6103050"/>
            <a:gd name="connsiteX6" fmla="*/ 1071170 w 14431574"/>
            <a:gd name="connsiteY6" fmla="*/ 6084000 h 6103050"/>
            <a:gd name="connsiteX7" fmla="*/ 0 w 14431574"/>
            <a:gd name="connsiteY7" fmla="*/ 5565280 h 6103050"/>
            <a:gd name="connsiteX8" fmla="*/ 9525 w 14431574"/>
            <a:gd name="connsiteY8" fmla="*/ 661595 h 6103050"/>
            <a:gd name="connsiteX0" fmla="*/ 9525 w 14431574"/>
            <a:gd name="connsiteY0" fmla="*/ 661595 h 6103050"/>
            <a:gd name="connsiteX1" fmla="*/ 918770 w 14431574"/>
            <a:gd name="connsiteY1" fmla="*/ 0 h 6103050"/>
            <a:gd name="connsiteX2" fmla="*/ 13359204 w 14431574"/>
            <a:gd name="connsiteY2" fmla="*/ 0 h 6103050"/>
            <a:gd name="connsiteX3" fmla="*/ 14392274 w 14431574"/>
            <a:gd name="connsiteY3" fmla="*/ 604445 h 6103050"/>
            <a:gd name="connsiteX4" fmla="*/ 14430374 w 14431574"/>
            <a:gd name="connsiteY4" fmla="*/ 5155705 h 6103050"/>
            <a:gd name="connsiteX5" fmla="*/ 13921179 w 14431574"/>
            <a:gd name="connsiteY5" fmla="*/ 6103050 h 6103050"/>
            <a:gd name="connsiteX6" fmla="*/ 1071170 w 14431574"/>
            <a:gd name="connsiteY6" fmla="*/ 6084000 h 6103050"/>
            <a:gd name="connsiteX7" fmla="*/ 0 w 14431574"/>
            <a:gd name="connsiteY7" fmla="*/ 5565280 h 6103050"/>
            <a:gd name="connsiteX8" fmla="*/ 9525 w 14431574"/>
            <a:gd name="connsiteY8" fmla="*/ 661595 h 6103050"/>
            <a:gd name="connsiteX0" fmla="*/ 9525 w 14431574"/>
            <a:gd name="connsiteY0" fmla="*/ 661595 h 6103050"/>
            <a:gd name="connsiteX1" fmla="*/ 918770 w 14431574"/>
            <a:gd name="connsiteY1" fmla="*/ 0 h 6103050"/>
            <a:gd name="connsiteX2" fmla="*/ 13359204 w 14431574"/>
            <a:gd name="connsiteY2" fmla="*/ 0 h 6103050"/>
            <a:gd name="connsiteX3" fmla="*/ 14401799 w 14431574"/>
            <a:gd name="connsiteY3" fmla="*/ 613970 h 6103050"/>
            <a:gd name="connsiteX4" fmla="*/ 14430374 w 14431574"/>
            <a:gd name="connsiteY4" fmla="*/ 5155705 h 6103050"/>
            <a:gd name="connsiteX5" fmla="*/ 13921179 w 14431574"/>
            <a:gd name="connsiteY5" fmla="*/ 6103050 h 6103050"/>
            <a:gd name="connsiteX6" fmla="*/ 1071170 w 14431574"/>
            <a:gd name="connsiteY6" fmla="*/ 6084000 h 6103050"/>
            <a:gd name="connsiteX7" fmla="*/ 0 w 14431574"/>
            <a:gd name="connsiteY7" fmla="*/ 5565280 h 6103050"/>
            <a:gd name="connsiteX8" fmla="*/ 9525 w 14431574"/>
            <a:gd name="connsiteY8" fmla="*/ 661595 h 6103050"/>
            <a:gd name="connsiteX0" fmla="*/ 9525 w 14439899"/>
            <a:gd name="connsiteY0" fmla="*/ 661595 h 6103050"/>
            <a:gd name="connsiteX1" fmla="*/ 918770 w 14439899"/>
            <a:gd name="connsiteY1" fmla="*/ 0 h 6103050"/>
            <a:gd name="connsiteX2" fmla="*/ 13359204 w 14439899"/>
            <a:gd name="connsiteY2" fmla="*/ 0 h 6103050"/>
            <a:gd name="connsiteX3" fmla="*/ 14439899 w 14439899"/>
            <a:gd name="connsiteY3" fmla="*/ 604445 h 6103050"/>
            <a:gd name="connsiteX4" fmla="*/ 14430374 w 14439899"/>
            <a:gd name="connsiteY4" fmla="*/ 5155705 h 6103050"/>
            <a:gd name="connsiteX5" fmla="*/ 13921179 w 14439899"/>
            <a:gd name="connsiteY5" fmla="*/ 6103050 h 6103050"/>
            <a:gd name="connsiteX6" fmla="*/ 1071170 w 14439899"/>
            <a:gd name="connsiteY6" fmla="*/ 6084000 h 6103050"/>
            <a:gd name="connsiteX7" fmla="*/ 0 w 14439899"/>
            <a:gd name="connsiteY7" fmla="*/ 5565280 h 6103050"/>
            <a:gd name="connsiteX8" fmla="*/ 9525 w 14439899"/>
            <a:gd name="connsiteY8" fmla="*/ 661595 h 61030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4439899" h="6103050">
              <a:moveTo>
                <a:pt x="9525" y="661595"/>
              </a:moveTo>
              <a:cubicBezTo>
                <a:pt x="9525" y="101567"/>
                <a:pt x="358742" y="0"/>
                <a:pt x="918770" y="0"/>
              </a:cubicBezTo>
              <a:lnTo>
                <a:pt x="13359204" y="0"/>
              </a:lnTo>
              <a:cubicBezTo>
                <a:pt x="13919232" y="0"/>
                <a:pt x="14439899" y="44417"/>
                <a:pt x="14439899" y="604445"/>
              </a:cubicBezTo>
              <a:cubicBezTo>
                <a:pt x="14439899" y="1956432"/>
                <a:pt x="14430374" y="3803718"/>
                <a:pt x="14430374" y="5155705"/>
              </a:cubicBezTo>
              <a:cubicBezTo>
                <a:pt x="14430374" y="5715733"/>
                <a:pt x="14481207" y="6103050"/>
                <a:pt x="13921179" y="6103050"/>
              </a:cubicBezTo>
              <a:lnTo>
                <a:pt x="1071170" y="6084000"/>
              </a:lnTo>
              <a:cubicBezTo>
                <a:pt x="511142" y="6084000"/>
                <a:pt x="0" y="6125308"/>
                <a:pt x="0" y="5565280"/>
              </a:cubicBezTo>
              <a:lnTo>
                <a:pt x="9525" y="661595"/>
              </a:lnTo>
              <a:close/>
            </a:path>
          </a:pathLst>
        </a:cu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107497</xdr:colOff>
      <xdr:row>2</xdr:row>
      <xdr:rowOff>123825</xdr:rowOff>
    </xdr:from>
    <xdr:to>
      <xdr:col>10</xdr:col>
      <xdr:colOff>27215</xdr:colOff>
      <xdr:row>5</xdr:row>
      <xdr:rowOff>81643</xdr:rowOff>
    </xdr:to>
    <xdr:sp macro="" textlink="">
      <xdr:nvSpPr>
        <xdr:cNvPr id="7" name="Flowchart: Process 6"/>
        <xdr:cNvSpPr/>
      </xdr:nvSpPr>
      <xdr:spPr>
        <a:xfrm>
          <a:off x="719818" y="504825"/>
          <a:ext cx="5430611" cy="529318"/>
        </a:xfrm>
        <a:prstGeom prst="flowChartProcess">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000">
              <a:solidFill>
                <a:schemeClr val="tx1"/>
              </a:solidFill>
            </a:rPr>
            <a:t>SALE</a:t>
          </a:r>
          <a:r>
            <a:rPr lang="en-US" sz="2000" baseline="0">
              <a:solidFill>
                <a:schemeClr val="tx1"/>
              </a:solidFill>
            </a:rPr>
            <a:t>S ANALYTICS DASHBOARD(2023-2025)</a:t>
          </a:r>
          <a:endParaRPr lang="en-US" sz="2000">
            <a:solidFill>
              <a:schemeClr val="tx1"/>
            </a:solidFill>
          </a:endParaRPr>
        </a:p>
      </xdr:txBody>
    </xdr:sp>
    <xdr:clientData/>
  </xdr:twoCellAnchor>
  <xdr:twoCellAnchor>
    <xdr:from>
      <xdr:col>16</xdr:col>
      <xdr:colOff>386603</xdr:colOff>
      <xdr:row>2</xdr:row>
      <xdr:rowOff>144235</xdr:rowOff>
    </xdr:from>
    <xdr:to>
      <xdr:col>18</xdr:col>
      <xdr:colOff>600636</xdr:colOff>
      <xdr:row>6</xdr:row>
      <xdr:rowOff>48986</xdr:rowOff>
    </xdr:to>
    <xdr:sp macro="" textlink="">
      <xdr:nvSpPr>
        <xdr:cNvPr id="8" name="Rectangle 7"/>
        <xdr:cNvSpPr/>
      </xdr:nvSpPr>
      <xdr:spPr>
        <a:xfrm>
          <a:off x="10183746" y="525235"/>
          <a:ext cx="1438676" cy="66675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Total</a:t>
          </a:r>
          <a:r>
            <a:rPr lang="en-US" sz="1600" b="1" baseline="0">
              <a:solidFill>
                <a:schemeClr val="tx1"/>
              </a:solidFill>
            </a:rPr>
            <a:t> Sales</a:t>
          </a:r>
          <a:r>
            <a:rPr lang="en-US" sz="1800" b="1" baseline="0">
              <a:solidFill>
                <a:schemeClr val="tx1"/>
              </a:solidFill>
            </a:rPr>
            <a:t/>
          </a:r>
          <a:br>
            <a:rPr lang="en-US" sz="1800" b="1" baseline="0">
              <a:solidFill>
                <a:schemeClr val="tx1"/>
              </a:solidFill>
            </a:rPr>
          </a:br>
          <a:r>
            <a:rPr lang="en-US" sz="1400" b="1" i="0" u="none" strike="noStrike">
              <a:solidFill>
                <a:schemeClr val="tx1"/>
              </a:solidFill>
              <a:effectLst/>
              <a:latin typeface="+mn-lt"/>
              <a:ea typeface="+mn-ea"/>
              <a:cs typeface="+mn-cs"/>
            </a:rPr>
            <a:t> </a:t>
          </a:r>
          <a:r>
            <a:rPr lang="en-US" sz="1600" b="1" i="0" u="none" strike="noStrike">
              <a:solidFill>
                <a:schemeClr val="tx1"/>
              </a:solidFill>
              <a:effectLst/>
              <a:latin typeface="+mn-lt"/>
              <a:ea typeface="+mn-ea"/>
              <a:cs typeface="+mn-cs"/>
            </a:rPr>
            <a:t>128M</a:t>
          </a:r>
          <a:r>
            <a:rPr lang="en-US" sz="1600" b="1">
              <a:solidFill>
                <a:schemeClr val="tx1"/>
              </a:solidFill>
            </a:rPr>
            <a:t>  </a:t>
          </a:r>
        </a:p>
      </xdr:txBody>
    </xdr:sp>
    <xdr:clientData/>
  </xdr:twoCellAnchor>
  <xdr:twoCellAnchor>
    <xdr:from>
      <xdr:col>19</xdr:col>
      <xdr:colOff>310084</xdr:colOff>
      <xdr:row>2</xdr:row>
      <xdr:rowOff>165287</xdr:rowOff>
    </xdr:from>
    <xdr:to>
      <xdr:col>21</xdr:col>
      <xdr:colOff>526836</xdr:colOff>
      <xdr:row>6</xdr:row>
      <xdr:rowOff>70038</xdr:rowOff>
    </xdr:to>
    <xdr:sp macro="" textlink="">
      <xdr:nvSpPr>
        <xdr:cNvPr id="12" name="Rectangle 11"/>
        <xdr:cNvSpPr/>
      </xdr:nvSpPr>
      <xdr:spPr>
        <a:xfrm>
          <a:off x="11944191" y="546287"/>
          <a:ext cx="1441395" cy="666751"/>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Total</a:t>
          </a:r>
          <a:r>
            <a:rPr lang="en-US" sz="1600" b="1" baseline="0">
              <a:solidFill>
                <a:schemeClr val="tx1"/>
              </a:solidFill>
            </a:rPr>
            <a:t> Profit</a:t>
          </a:r>
          <a:r>
            <a:rPr lang="en-US" sz="1800" b="1" baseline="0">
              <a:solidFill>
                <a:schemeClr val="tx1"/>
              </a:solidFill>
            </a:rPr>
            <a:t/>
          </a:r>
          <a:br>
            <a:rPr lang="en-US" sz="1800" b="1" baseline="0">
              <a:solidFill>
                <a:schemeClr val="tx1"/>
              </a:solidFill>
            </a:rPr>
          </a:br>
          <a:r>
            <a:rPr lang="en-US" sz="1600" b="1" i="0" u="none" strike="noStrike">
              <a:solidFill>
                <a:schemeClr val="tx1"/>
              </a:solidFill>
              <a:effectLst/>
              <a:latin typeface="+mn-lt"/>
              <a:ea typeface="+mn-ea"/>
              <a:cs typeface="+mn-cs"/>
            </a:rPr>
            <a:t>₹ 115M</a:t>
          </a:r>
          <a:r>
            <a:rPr lang="en-US" sz="1600" b="1">
              <a:solidFill>
                <a:schemeClr val="tx1"/>
              </a:solidFill>
            </a:rPr>
            <a:t> </a:t>
          </a:r>
        </a:p>
      </xdr:txBody>
    </xdr:sp>
    <xdr:clientData/>
  </xdr:twoCellAnchor>
  <xdr:twoCellAnchor>
    <xdr:from>
      <xdr:col>10</xdr:col>
      <xdr:colOff>611844</xdr:colOff>
      <xdr:row>2</xdr:row>
      <xdr:rowOff>144475</xdr:rowOff>
    </xdr:from>
    <xdr:to>
      <xdr:col>13</xdr:col>
      <xdr:colOff>213554</xdr:colOff>
      <xdr:row>6</xdr:row>
      <xdr:rowOff>49226</xdr:rowOff>
    </xdr:to>
    <xdr:sp macro="" textlink="">
      <xdr:nvSpPr>
        <xdr:cNvPr id="13" name="Rectangle 12"/>
        <xdr:cNvSpPr/>
      </xdr:nvSpPr>
      <xdr:spPr>
        <a:xfrm>
          <a:off x="6735058" y="525475"/>
          <a:ext cx="1438675" cy="66675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Total</a:t>
          </a:r>
          <a:r>
            <a:rPr lang="en-US" sz="1600" b="1" baseline="0">
              <a:solidFill>
                <a:schemeClr val="tx1"/>
              </a:solidFill>
            </a:rPr>
            <a:t> Quantity</a:t>
          </a:r>
          <a:br>
            <a:rPr lang="en-US" sz="1600" b="1" baseline="0">
              <a:solidFill>
                <a:schemeClr val="tx1"/>
              </a:solidFill>
            </a:rPr>
          </a:br>
          <a:r>
            <a:rPr lang="en-US" sz="1400" b="1" i="0" u="none" strike="noStrike">
              <a:solidFill>
                <a:schemeClr val="tx1"/>
              </a:solidFill>
              <a:effectLst/>
              <a:latin typeface="+mn-lt"/>
              <a:ea typeface="+mn-ea"/>
              <a:cs typeface="+mn-cs"/>
            </a:rPr>
            <a:t>5053 </a:t>
          </a:r>
          <a:r>
            <a:rPr lang="en-US" sz="1400" b="1">
              <a:solidFill>
                <a:schemeClr val="tx1"/>
              </a:solidFill>
            </a:rPr>
            <a:t> </a:t>
          </a:r>
        </a:p>
      </xdr:txBody>
    </xdr:sp>
    <xdr:clientData/>
  </xdr:twoCellAnchor>
  <xdr:twoCellAnchor>
    <xdr:from>
      <xdr:col>13</xdr:col>
      <xdr:colOff>486095</xdr:colOff>
      <xdr:row>2</xdr:row>
      <xdr:rowOff>159763</xdr:rowOff>
    </xdr:from>
    <xdr:to>
      <xdr:col>16</xdr:col>
      <xdr:colOff>83324</xdr:colOff>
      <xdr:row>6</xdr:row>
      <xdr:rowOff>64514</xdr:rowOff>
    </xdr:to>
    <xdr:sp macro="" textlink="">
      <xdr:nvSpPr>
        <xdr:cNvPr id="15" name="Rectangle 14"/>
        <xdr:cNvSpPr/>
      </xdr:nvSpPr>
      <xdr:spPr>
        <a:xfrm>
          <a:off x="8446274" y="540763"/>
          <a:ext cx="1434193" cy="66675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Avg</a:t>
          </a:r>
          <a:r>
            <a:rPr lang="en-US" sz="1600" b="1" baseline="0">
              <a:solidFill>
                <a:schemeClr val="tx1"/>
              </a:solidFill>
            </a:rPr>
            <a:t> Profit</a:t>
          </a:r>
          <a:br>
            <a:rPr lang="en-US" sz="1600" b="1" baseline="0">
              <a:solidFill>
                <a:schemeClr val="tx1"/>
              </a:solidFill>
            </a:rPr>
          </a:br>
          <a:r>
            <a:rPr lang="en-US" sz="1600" b="1" i="0" u="none" strike="noStrike">
              <a:solidFill>
                <a:schemeClr val="tx1"/>
              </a:solidFill>
              <a:effectLst/>
              <a:latin typeface="+mn-lt"/>
              <a:ea typeface="+mn-ea"/>
              <a:cs typeface="+mn-cs"/>
            </a:rPr>
            <a:t>₹ 115K</a:t>
          </a:r>
          <a:r>
            <a:rPr lang="en-US" sz="1600" b="1">
              <a:solidFill>
                <a:schemeClr val="tx1"/>
              </a:solidFill>
            </a:rPr>
            <a:t> </a:t>
          </a:r>
        </a:p>
      </xdr:txBody>
    </xdr:sp>
    <xdr:clientData/>
  </xdr:twoCellAnchor>
  <xdr:twoCellAnchor>
    <xdr:from>
      <xdr:col>15</xdr:col>
      <xdr:colOff>302559</xdr:colOff>
      <xdr:row>10</xdr:row>
      <xdr:rowOff>11207</xdr:rowOff>
    </xdr:from>
    <xdr:to>
      <xdr:col>23</xdr:col>
      <xdr:colOff>504265</xdr:colOff>
      <xdr:row>23</xdr:row>
      <xdr:rowOff>42583</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55413</xdr:colOff>
      <xdr:row>7</xdr:row>
      <xdr:rowOff>100854</xdr:rowOff>
    </xdr:from>
    <xdr:to>
      <xdr:col>9</xdr:col>
      <xdr:colOff>56029</xdr:colOff>
      <xdr:row>23</xdr:row>
      <xdr:rowOff>52028</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268462</xdr:colOff>
      <xdr:row>9</xdr:row>
      <xdr:rowOff>145676</xdr:rowOff>
    </xdr:from>
    <xdr:to>
      <xdr:col>15</xdr:col>
      <xdr:colOff>134470</xdr:colOff>
      <xdr:row>23</xdr:row>
      <xdr:rowOff>52908</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67234</xdr:colOff>
      <xdr:row>25</xdr:row>
      <xdr:rowOff>22412</xdr:rowOff>
    </xdr:from>
    <xdr:to>
      <xdr:col>10</xdr:col>
      <xdr:colOff>470648</xdr:colOff>
      <xdr:row>36</xdr:row>
      <xdr:rowOff>183377</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576943</xdr:colOff>
      <xdr:row>4</xdr:row>
      <xdr:rowOff>45159</xdr:rowOff>
    </xdr:from>
    <xdr:to>
      <xdr:col>17</xdr:col>
      <xdr:colOff>202747</xdr:colOff>
      <xdr:row>5</xdr:row>
      <xdr:rowOff>104744</xdr:rowOff>
    </xdr:to>
    <xdr:pic>
      <xdr:nvPicPr>
        <xdr:cNvPr id="6" name="Picture 5"/>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374086" y="807159"/>
          <a:ext cx="238125" cy="250085"/>
        </a:xfrm>
        <a:prstGeom prst="rect">
          <a:avLst/>
        </a:prstGeom>
      </xdr:spPr>
    </xdr:pic>
    <xdr:clientData/>
  </xdr:twoCellAnchor>
  <xdr:twoCellAnchor>
    <xdr:from>
      <xdr:col>17</xdr:col>
      <xdr:colOff>378599</xdr:colOff>
      <xdr:row>24</xdr:row>
      <xdr:rowOff>56029</xdr:rowOff>
    </xdr:from>
    <xdr:to>
      <xdr:col>23</xdr:col>
      <xdr:colOff>504264</xdr:colOff>
      <xdr:row>36</xdr:row>
      <xdr:rowOff>176493</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24</xdr:col>
      <xdr:colOff>168088</xdr:colOff>
      <xdr:row>4</xdr:row>
      <xdr:rowOff>53868</xdr:rowOff>
    </xdr:from>
    <xdr:to>
      <xdr:col>27</xdr:col>
      <xdr:colOff>560293</xdr:colOff>
      <xdr:row>9</xdr:row>
      <xdr:rowOff>78441</xdr:rowOff>
    </xdr:to>
    <mc:AlternateContent xmlns:mc="http://schemas.openxmlformats.org/markup-compatibility/2006" xmlns:a14="http://schemas.microsoft.com/office/drawing/2010/main">
      <mc:Choice Requires="a14">
        <xdr:graphicFrame macro="">
          <xdr:nvGraphicFramePr>
            <xdr:cNvPr id="19"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690912" y="815868"/>
              <a:ext cx="2207557" cy="9770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340900</xdr:colOff>
      <xdr:row>10</xdr:row>
      <xdr:rowOff>153362</xdr:rowOff>
    </xdr:from>
    <xdr:to>
      <xdr:col>27</xdr:col>
      <xdr:colOff>515472</xdr:colOff>
      <xdr:row>16</xdr:row>
      <xdr:rowOff>11206</xdr:rowOff>
    </xdr:to>
    <mc:AlternateContent xmlns:mc="http://schemas.openxmlformats.org/markup-compatibility/2006" xmlns:a14="http://schemas.microsoft.com/office/drawing/2010/main">
      <mc:Choice Requires="a14">
        <xdr:graphicFrame macro="">
          <xdr:nvGraphicFramePr>
            <xdr:cNvPr id="27"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863724" y="2058362"/>
              <a:ext cx="1989924" cy="10008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154632</xdr:colOff>
      <xdr:row>17</xdr:row>
      <xdr:rowOff>30894</xdr:rowOff>
    </xdr:from>
    <xdr:to>
      <xdr:col>27</xdr:col>
      <xdr:colOff>537884</xdr:colOff>
      <xdr:row>25</xdr:row>
      <xdr:rowOff>56028</xdr:rowOff>
    </xdr:to>
    <mc:AlternateContent xmlns:mc="http://schemas.openxmlformats.org/markup-compatibility/2006" xmlns:a14="http://schemas.microsoft.com/office/drawing/2010/main">
      <mc:Choice Requires="a14">
        <xdr:graphicFrame macro="">
          <xdr:nvGraphicFramePr>
            <xdr:cNvPr id="24" name="Months 1"/>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14677456" y="3269394"/>
              <a:ext cx="2198604" cy="15491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52463</xdr:colOff>
      <xdr:row>25</xdr:row>
      <xdr:rowOff>52485</xdr:rowOff>
    </xdr:from>
    <xdr:to>
      <xdr:col>17</xdr:col>
      <xdr:colOff>143047</xdr:colOff>
      <xdr:row>36</xdr:row>
      <xdr:rowOff>175269</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24</xdr:col>
      <xdr:colOff>517711</xdr:colOff>
      <xdr:row>26</xdr:row>
      <xdr:rowOff>117663</xdr:rowOff>
    </xdr:from>
    <xdr:to>
      <xdr:col>27</xdr:col>
      <xdr:colOff>531159</xdr:colOff>
      <xdr:row>36</xdr:row>
      <xdr:rowOff>1</xdr:rowOff>
    </xdr:to>
    <mc:AlternateContent xmlns:mc="http://schemas.openxmlformats.org/markup-compatibility/2006" xmlns:a14="http://schemas.microsoft.com/office/drawing/2010/main">
      <mc:Choice Requires="a14">
        <xdr:graphicFrame macro="">
          <xdr:nvGraphicFramePr>
            <xdr:cNvPr id="3"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5040535" y="5070663"/>
              <a:ext cx="1828800" cy="17873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bsti" refreshedDate="46051.49027800926" createdVersion="5" refreshedVersion="5" minRefreshableVersion="3" recordCount="1000">
  <cacheSource type="worksheet">
    <worksheetSource ref="A1:N1001" sheet="SalesData"/>
  </cacheSource>
  <cacheFields count="14">
    <cacheField name="Order_ID" numFmtId="0">
      <sharedItems containsSemiMixedTypes="0" containsString="0" containsNumber="1" containsInteger="1" minValue="10001" maxValue="11000"/>
    </cacheField>
    <cacheField name="Order_Date" numFmtId="164">
      <sharedItems containsSemiMixedTypes="0" containsNonDate="0" containsDate="1" containsString="0" minDate="2023-01-01T00:00:00" maxDate="2025-09-27T00:00:00" count="1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sharedItems>
      <fieldGroup base="1">
        <rangePr groupBy="months" startDate="2023-01-01T00:00:00" endDate="2025-09-27T00:00:00"/>
        <groupItems count="14">
          <s v="&lt;01-01-2023"/>
          <s v="Jan"/>
          <s v="Feb"/>
          <s v="Mar"/>
          <s v="Apr"/>
          <s v="May"/>
          <s v="Jun"/>
          <s v="Jul"/>
          <s v="Aug"/>
          <s v="Sep"/>
          <s v="Oct"/>
          <s v="Nov"/>
          <s v="Dec"/>
          <s v="&gt;27-09-2025"/>
        </groupItems>
      </fieldGroup>
    </cacheField>
    <cacheField name="Region" numFmtId="0">
      <sharedItems count="4">
        <s v="South"/>
        <s v="West"/>
        <s v="North"/>
        <s v="East"/>
      </sharedItems>
    </cacheField>
    <cacheField name="Country" numFmtId="0">
      <sharedItems count="5">
        <s v="India"/>
        <s v="Australia"/>
        <s v="USA"/>
        <s v="UK"/>
        <s v="Canada"/>
      </sharedItems>
    </cacheField>
    <cacheField name="Category" numFmtId="0">
      <sharedItems count="4">
        <s v="Furniture"/>
        <s v="Grocery"/>
        <s v="Clothing"/>
        <s v="Electronics"/>
      </sharedItems>
    </cacheField>
    <cacheField name="Sub_Category" numFmtId="0">
      <sharedItems count="8">
        <s v="Mobile"/>
        <s v="Jeans"/>
        <s v="Laptop"/>
        <s v="Beverages"/>
        <s v="Shirt"/>
        <s v="Chair"/>
        <s v="Table"/>
        <s v="Snacks"/>
      </sharedItems>
    </cacheField>
    <cacheField name="Customer_Age" numFmtId="0">
      <sharedItems containsSemiMixedTypes="0" containsString="0" containsNumber="1" containsInteger="1" minValue="18" maxValue="64"/>
    </cacheField>
    <cacheField name="Age_Group" numFmtId="0">
      <sharedItems count="5">
        <s v="25-34"/>
        <s v="18-24"/>
        <s v="55+"/>
        <s v="45-54"/>
        <s v="35-44"/>
      </sharedItems>
    </cacheField>
    <cacheField name="Quantity" numFmtId="0">
      <sharedItems containsSemiMixedTypes="0" containsString="0" containsNumber="1" containsInteger="1" minValue="1" maxValue="9"/>
    </cacheField>
    <cacheField name="Unit_Price" numFmtId="0">
      <sharedItems containsSemiMixedTypes="0" containsString="0" containsNumber="1" containsInteger="1" minValue="109" maxValue="49965"/>
    </cacheField>
    <cacheField name="Discount_%" numFmtId="0">
      <sharedItems containsSemiMixedTypes="0" containsString="0" containsNumber="1" containsInteger="1" minValue="0" maxValue="20" count="5">
        <n v="0"/>
        <n v="15"/>
        <n v="20"/>
        <n v="10"/>
        <n v="5"/>
      </sharedItems>
    </cacheField>
    <cacheField name="Sales" numFmtId="0">
      <sharedItems containsSemiMixedTypes="0" containsString="0" containsNumber="1" containsInteger="1" minValue="534" maxValue="446472"/>
    </cacheField>
    <cacheField name="Discount_Amount" numFmtId="0">
      <sharedItems containsSemiMixedTypes="0" containsString="0" containsNumber="1" minValue="0" maxValue="89035.199999999997"/>
    </cacheField>
    <cacheField name="Profit" numFmtId="0">
      <sharedItems containsSemiMixedTypes="0" containsString="0" containsNumber="1" minValue="480.6" maxValue="44570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0001"/>
    <x v="0"/>
    <x v="0"/>
    <x v="0"/>
    <x v="0"/>
    <x v="0"/>
    <n v="33"/>
    <x v="0"/>
    <n v="5"/>
    <n v="1977"/>
    <x v="0"/>
    <n v="9885"/>
    <n v="0"/>
    <n v="9885"/>
  </r>
  <r>
    <n v="10002"/>
    <x v="1"/>
    <x v="1"/>
    <x v="1"/>
    <x v="1"/>
    <x v="1"/>
    <n v="29"/>
    <x v="0"/>
    <n v="8"/>
    <n v="40037"/>
    <x v="1"/>
    <n v="320296"/>
    <n v="48044.4"/>
    <n v="272251.59999999998"/>
  </r>
  <r>
    <n v="10003"/>
    <x v="2"/>
    <x v="2"/>
    <x v="2"/>
    <x v="1"/>
    <x v="2"/>
    <n v="22"/>
    <x v="1"/>
    <n v="4"/>
    <n v="40658"/>
    <x v="2"/>
    <n v="162632"/>
    <n v="32526.400000000001"/>
    <n v="130105.60000000001"/>
  </r>
  <r>
    <n v="10004"/>
    <x v="3"/>
    <x v="2"/>
    <x v="1"/>
    <x v="1"/>
    <x v="3"/>
    <n v="62"/>
    <x v="2"/>
    <n v="8"/>
    <n v="27479"/>
    <x v="1"/>
    <n v="219832"/>
    <n v="32974.800000000003"/>
    <n v="186857.2"/>
  </r>
  <r>
    <n v="10005"/>
    <x v="4"/>
    <x v="1"/>
    <x v="0"/>
    <x v="2"/>
    <x v="4"/>
    <n v="25"/>
    <x v="0"/>
    <n v="9"/>
    <n v="30713"/>
    <x v="2"/>
    <n v="276417"/>
    <n v="55283.4"/>
    <n v="221133.6"/>
  </r>
  <r>
    <n v="10006"/>
    <x v="5"/>
    <x v="0"/>
    <x v="3"/>
    <x v="0"/>
    <x v="5"/>
    <n v="48"/>
    <x v="3"/>
    <n v="6"/>
    <n v="13469"/>
    <x v="3"/>
    <n v="80814"/>
    <n v="8081.4"/>
    <n v="72732.600000000006"/>
  </r>
  <r>
    <n v="10007"/>
    <x v="6"/>
    <x v="1"/>
    <x v="4"/>
    <x v="2"/>
    <x v="6"/>
    <n v="42"/>
    <x v="4"/>
    <n v="3"/>
    <n v="10458"/>
    <x v="3"/>
    <n v="31374"/>
    <n v="3137.4"/>
    <n v="28236.6"/>
  </r>
  <r>
    <n v="10008"/>
    <x v="7"/>
    <x v="0"/>
    <x v="3"/>
    <x v="2"/>
    <x v="5"/>
    <n v="34"/>
    <x v="0"/>
    <n v="2"/>
    <n v="39290"/>
    <x v="2"/>
    <n v="78580"/>
    <n v="15716"/>
    <n v="62864"/>
  </r>
  <r>
    <n v="10009"/>
    <x v="8"/>
    <x v="1"/>
    <x v="2"/>
    <x v="2"/>
    <x v="1"/>
    <n v="55"/>
    <x v="2"/>
    <n v="3"/>
    <n v="22004"/>
    <x v="3"/>
    <n v="66012"/>
    <n v="6601.2"/>
    <n v="59410.8"/>
  </r>
  <r>
    <n v="10010"/>
    <x v="9"/>
    <x v="2"/>
    <x v="4"/>
    <x v="0"/>
    <x v="2"/>
    <n v="35"/>
    <x v="4"/>
    <n v="6"/>
    <n v="4000"/>
    <x v="4"/>
    <n v="24000"/>
    <n v="1200"/>
    <n v="22800"/>
  </r>
  <r>
    <n v="10011"/>
    <x v="10"/>
    <x v="2"/>
    <x v="2"/>
    <x v="2"/>
    <x v="0"/>
    <n v="32"/>
    <x v="0"/>
    <n v="9"/>
    <n v="24882"/>
    <x v="1"/>
    <n v="223938"/>
    <n v="33590.699999999997"/>
    <n v="190347.3"/>
  </r>
  <r>
    <n v="10012"/>
    <x v="11"/>
    <x v="0"/>
    <x v="2"/>
    <x v="0"/>
    <x v="7"/>
    <n v="58"/>
    <x v="2"/>
    <n v="4"/>
    <n v="26430"/>
    <x v="4"/>
    <n v="105720"/>
    <n v="5286"/>
    <n v="100434"/>
  </r>
  <r>
    <n v="10013"/>
    <x v="12"/>
    <x v="2"/>
    <x v="3"/>
    <x v="1"/>
    <x v="7"/>
    <n v="29"/>
    <x v="0"/>
    <n v="5"/>
    <n v="3812"/>
    <x v="3"/>
    <n v="19060"/>
    <n v="1906"/>
    <n v="17154"/>
  </r>
  <r>
    <n v="10014"/>
    <x v="13"/>
    <x v="1"/>
    <x v="0"/>
    <x v="3"/>
    <x v="5"/>
    <n v="18"/>
    <x v="1"/>
    <n v="3"/>
    <n v="25609"/>
    <x v="1"/>
    <n v="76827"/>
    <n v="11524.05"/>
    <n v="65302.95"/>
  </r>
  <r>
    <n v="10015"/>
    <x v="14"/>
    <x v="0"/>
    <x v="1"/>
    <x v="2"/>
    <x v="3"/>
    <n v="41"/>
    <x v="4"/>
    <n v="5"/>
    <n v="214"/>
    <x v="1"/>
    <n v="1070"/>
    <n v="160.5"/>
    <n v="909.5"/>
  </r>
  <r>
    <n v="10016"/>
    <x v="15"/>
    <x v="2"/>
    <x v="1"/>
    <x v="3"/>
    <x v="6"/>
    <n v="35"/>
    <x v="4"/>
    <n v="6"/>
    <n v="608"/>
    <x v="1"/>
    <n v="3648"/>
    <n v="547.20000000000005"/>
    <n v="3100.8"/>
  </r>
  <r>
    <n v="10017"/>
    <x v="16"/>
    <x v="3"/>
    <x v="3"/>
    <x v="3"/>
    <x v="6"/>
    <n v="44"/>
    <x v="4"/>
    <n v="8"/>
    <n v="25545"/>
    <x v="3"/>
    <n v="204360"/>
    <n v="20436"/>
    <n v="183924"/>
  </r>
  <r>
    <n v="10018"/>
    <x v="17"/>
    <x v="0"/>
    <x v="3"/>
    <x v="2"/>
    <x v="2"/>
    <n v="30"/>
    <x v="0"/>
    <n v="2"/>
    <n v="39604"/>
    <x v="3"/>
    <n v="79208"/>
    <n v="7920.8"/>
    <n v="71287.199999999997"/>
  </r>
  <r>
    <n v="10019"/>
    <x v="18"/>
    <x v="3"/>
    <x v="1"/>
    <x v="2"/>
    <x v="6"/>
    <n v="35"/>
    <x v="4"/>
    <n v="9"/>
    <n v="12725"/>
    <x v="4"/>
    <n v="114525"/>
    <n v="5726.25"/>
    <n v="108798.75"/>
  </r>
  <r>
    <n v="10020"/>
    <x v="19"/>
    <x v="2"/>
    <x v="0"/>
    <x v="2"/>
    <x v="3"/>
    <n v="46"/>
    <x v="3"/>
    <n v="5"/>
    <n v="32544"/>
    <x v="0"/>
    <n v="162720"/>
    <n v="0"/>
    <n v="162720"/>
  </r>
  <r>
    <n v="10021"/>
    <x v="20"/>
    <x v="3"/>
    <x v="0"/>
    <x v="1"/>
    <x v="1"/>
    <n v="53"/>
    <x v="3"/>
    <n v="4"/>
    <n v="42944"/>
    <x v="2"/>
    <n v="171776"/>
    <n v="34355.199999999997"/>
    <n v="137420.79999999999"/>
  </r>
  <r>
    <n v="10022"/>
    <x v="21"/>
    <x v="0"/>
    <x v="4"/>
    <x v="0"/>
    <x v="0"/>
    <n v="34"/>
    <x v="0"/>
    <n v="1"/>
    <n v="6093"/>
    <x v="4"/>
    <n v="6093"/>
    <n v="304.64999999999998"/>
    <n v="5788.35"/>
  </r>
  <r>
    <n v="10023"/>
    <x v="22"/>
    <x v="3"/>
    <x v="1"/>
    <x v="3"/>
    <x v="5"/>
    <n v="26"/>
    <x v="0"/>
    <n v="2"/>
    <n v="46203"/>
    <x v="1"/>
    <n v="92406"/>
    <n v="13860.9"/>
    <n v="78545.100000000006"/>
  </r>
  <r>
    <n v="10024"/>
    <x v="23"/>
    <x v="2"/>
    <x v="1"/>
    <x v="2"/>
    <x v="6"/>
    <n v="34"/>
    <x v="0"/>
    <n v="8"/>
    <n v="36720"/>
    <x v="1"/>
    <n v="293760"/>
    <n v="44064"/>
    <n v="249696"/>
  </r>
  <r>
    <n v="10025"/>
    <x v="24"/>
    <x v="1"/>
    <x v="4"/>
    <x v="0"/>
    <x v="0"/>
    <n v="24"/>
    <x v="1"/>
    <n v="2"/>
    <n v="48716"/>
    <x v="3"/>
    <n v="97432"/>
    <n v="9743.2000000000007"/>
    <n v="87688.8"/>
  </r>
  <r>
    <n v="10026"/>
    <x v="25"/>
    <x v="2"/>
    <x v="2"/>
    <x v="2"/>
    <x v="5"/>
    <n v="39"/>
    <x v="4"/>
    <n v="2"/>
    <n v="38626"/>
    <x v="4"/>
    <n v="77252"/>
    <n v="3862.6"/>
    <n v="73389.399999999994"/>
  </r>
  <r>
    <n v="10027"/>
    <x v="26"/>
    <x v="3"/>
    <x v="0"/>
    <x v="2"/>
    <x v="3"/>
    <n v="52"/>
    <x v="3"/>
    <n v="3"/>
    <n v="34675"/>
    <x v="4"/>
    <n v="104025"/>
    <n v="5201.25"/>
    <n v="98823.75"/>
  </r>
  <r>
    <n v="10028"/>
    <x v="27"/>
    <x v="2"/>
    <x v="4"/>
    <x v="3"/>
    <x v="1"/>
    <n v="63"/>
    <x v="2"/>
    <n v="9"/>
    <n v="39008"/>
    <x v="4"/>
    <n v="351072"/>
    <n v="17553.599999999999"/>
    <n v="333518.40000000002"/>
  </r>
  <r>
    <n v="10029"/>
    <x v="28"/>
    <x v="0"/>
    <x v="2"/>
    <x v="0"/>
    <x v="1"/>
    <n v="60"/>
    <x v="2"/>
    <n v="4"/>
    <n v="21411"/>
    <x v="4"/>
    <n v="85644"/>
    <n v="4282.2"/>
    <n v="81361.8"/>
  </r>
  <r>
    <n v="10030"/>
    <x v="29"/>
    <x v="3"/>
    <x v="3"/>
    <x v="1"/>
    <x v="6"/>
    <n v="43"/>
    <x v="4"/>
    <n v="4"/>
    <n v="3436"/>
    <x v="3"/>
    <n v="13744"/>
    <n v="1374.4"/>
    <n v="12369.6"/>
  </r>
  <r>
    <n v="10031"/>
    <x v="30"/>
    <x v="3"/>
    <x v="4"/>
    <x v="1"/>
    <x v="7"/>
    <n v="53"/>
    <x v="3"/>
    <n v="5"/>
    <n v="20582"/>
    <x v="4"/>
    <n v="102910"/>
    <n v="5145.5"/>
    <n v="97764.5"/>
  </r>
  <r>
    <n v="10032"/>
    <x v="31"/>
    <x v="2"/>
    <x v="4"/>
    <x v="3"/>
    <x v="1"/>
    <n v="60"/>
    <x v="2"/>
    <n v="9"/>
    <n v="18446"/>
    <x v="3"/>
    <n v="166014"/>
    <n v="16601.400000000001"/>
    <n v="149412.6"/>
  </r>
  <r>
    <n v="10033"/>
    <x v="32"/>
    <x v="1"/>
    <x v="2"/>
    <x v="0"/>
    <x v="2"/>
    <n v="29"/>
    <x v="0"/>
    <n v="3"/>
    <n v="15563"/>
    <x v="1"/>
    <n v="46689"/>
    <n v="7003.35"/>
    <n v="39685.65"/>
  </r>
  <r>
    <n v="10034"/>
    <x v="33"/>
    <x v="1"/>
    <x v="0"/>
    <x v="3"/>
    <x v="1"/>
    <n v="44"/>
    <x v="4"/>
    <n v="9"/>
    <n v="45683"/>
    <x v="2"/>
    <n v="411147"/>
    <n v="82229.399999999994"/>
    <n v="328917.59999999998"/>
  </r>
  <r>
    <n v="10035"/>
    <x v="34"/>
    <x v="0"/>
    <x v="1"/>
    <x v="1"/>
    <x v="5"/>
    <n v="41"/>
    <x v="4"/>
    <n v="7"/>
    <n v="20562"/>
    <x v="4"/>
    <n v="143934"/>
    <n v="7196.7"/>
    <n v="136737.29999999999"/>
  </r>
  <r>
    <n v="10036"/>
    <x v="35"/>
    <x v="0"/>
    <x v="0"/>
    <x v="0"/>
    <x v="7"/>
    <n v="28"/>
    <x v="0"/>
    <n v="5"/>
    <n v="36733"/>
    <x v="2"/>
    <n v="183665"/>
    <n v="36733"/>
    <n v="146932"/>
  </r>
  <r>
    <n v="10037"/>
    <x v="36"/>
    <x v="1"/>
    <x v="2"/>
    <x v="0"/>
    <x v="1"/>
    <n v="20"/>
    <x v="1"/>
    <n v="5"/>
    <n v="17279"/>
    <x v="2"/>
    <n v="86395"/>
    <n v="17279"/>
    <n v="69116"/>
  </r>
  <r>
    <n v="10038"/>
    <x v="37"/>
    <x v="3"/>
    <x v="2"/>
    <x v="3"/>
    <x v="2"/>
    <n v="31"/>
    <x v="0"/>
    <n v="2"/>
    <n v="23440"/>
    <x v="4"/>
    <n v="46880"/>
    <n v="2344"/>
    <n v="44536"/>
  </r>
  <r>
    <n v="10039"/>
    <x v="38"/>
    <x v="2"/>
    <x v="4"/>
    <x v="2"/>
    <x v="2"/>
    <n v="54"/>
    <x v="3"/>
    <n v="4"/>
    <n v="23070"/>
    <x v="3"/>
    <n v="92280"/>
    <n v="9228"/>
    <n v="83052"/>
  </r>
  <r>
    <n v="10040"/>
    <x v="39"/>
    <x v="3"/>
    <x v="1"/>
    <x v="1"/>
    <x v="6"/>
    <n v="49"/>
    <x v="3"/>
    <n v="7"/>
    <n v="7475"/>
    <x v="4"/>
    <n v="52325"/>
    <n v="2616.25"/>
    <n v="49708.75"/>
  </r>
  <r>
    <n v="10041"/>
    <x v="40"/>
    <x v="0"/>
    <x v="1"/>
    <x v="1"/>
    <x v="4"/>
    <n v="23"/>
    <x v="1"/>
    <n v="5"/>
    <n v="41832"/>
    <x v="2"/>
    <n v="209160"/>
    <n v="41832"/>
    <n v="167328"/>
  </r>
  <r>
    <n v="10042"/>
    <x v="41"/>
    <x v="0"/>
    <x v="3"/>
    <x v="0"/>
    <x v="4"/>
    <n v="52"/>
    <x v="3"/>
    <n v="3"/>
    <n v="35055"/>
    <x v="1"/>
    <n v="105165"/>
    <n v="15774.75"/>
    <n v="89390.25"/>
  </r>
  <r>
    <n v="10043"/>
    <x v="42"/>
    <x v="0"/>
    <x v="3"/>
    <x v="2"/>
    <x v="4"/>
    <n v="62"/>
    <x v="2"/>
    <n v="3"/>
    <n v="24914"/>
    <x v="4"/>
    <n v="74742"/>
    <n v="3737.1"/>
    <n v="71004.899999999994"/>
  </r>
  <r>
    <n v="10044"/>
    <x v="43"/>
    <x v="1"/>
    <x v="3"/>
    <x v="1"/>
    <x v="5"/>
    <n v="50"/>
    <x v="3"/>
    <n v="4"/>
    <n v="29320"/>
    <x v="1"/>
    <n v="117280"/>
    <n v="17592"/>
    <n v="99688"/>
  </r>
  <r>
    <n v="10045"/>
    <x v="44"/>
    <x v="1"/>
    <x v="3"/>
    <x v="2"/>
    <x v="6"/>
    <n v="36"/>
    <x v="4"/>
    <n v="1"/>
    <n v="39161"/>
    <x v="4"/>
    <n v="39161"/>
    <n v="1958.05"/>
    <n v="37202.949999999997"/>
  </r>
  <r>
    <n v="10046"/>
    <x v="45"/>
    <x v="0"/>
    <x v="4"/>
    <x v="2"/>
    <x v="5"/>
    <n v="45"/>
    <x v="3"/>
    <n v="9"/>
    <n v="44378"/>
    <x v="4"/>
    <n v="399402"/>
    <n v="19970.099999999999"/>
    <n v="379431.9"/>
  </r>
  <r>
    <n v="10047"/>
    <x v="46"/>
    <x v="3"/>
    <x v="1"/>
    <x v="0"/>
    <x v="3"/>
    <n v="45"/>
    <x v="3"/>
    <n v="9"/>
    <n v="21568"/>
    <x v="4"/>
    <n v="194112"/>
    <n v="9705.6"/>
    <n v="184406.39999999999"/>
  </r>
  <r>
    <n v="10048"/>
    <x v="47"/>
    <x v="0"/>
    <x v="2"/>
    <x v="1"/>
    <x v="1"/>
    <n v="27"/>
    <x v="0"/>
    <n v="7"/>
    <n v="32365"/>
    <x v="3"/>
    <n v="226555"/>
    <n v="22655.5"/>
    <n v="203899.5"/>
  </r>
  <r>
    <n v="10049"/>
    <x v="48"/>
    <x v="0"/>
    <x v="4"/>
    <x v="0"/>
    <x v="4"/>
    <n v="58"/>
    <x v="2"/>
    <n v="4"/>
    <n v="23631"/>
    <x v="4"/>
    <n v="94524"/>
    <n v="4726.2"/>
    <n v="89797.8"/>
  </r>
  <r>
    <n v="10050"/>
    <x v="49"/>
    <x v="2"/>
    <x v="2"/>
    <x v="2"/>
    <x v="6"/>
    <n v="35"/>
    <x v="4"/>
    <n v="1"/>
    <n v="37845"/>
    <x v="2"/>
    <n v="37845"/>
    <n v="7569"/>
    <n v="30276"/>
  </r>
  <r>
    <n v="10051"/>
    <x v="50"/>
    <x v="2"/>
    <x v="2"/>
    <x v="3"/>
    <x v="0"/>
    <n v="30"/>
    <x v="0"/>
    <n v="6"/>
    <n v="43710"/>
    <x v="0"/>
    <n v="262260"/>
    <n v="0"/>
    <n v="262260"/>
  </r>
  <r>
    <n v="10052"/>
    <x v="51"/>
    <x v="0"/>
    <x v="1"/>
    <x v="1"/>
    <x v="7"/>
    <n v="59"/>
    <x v="2"/>
    <n v="8"/>
    <n v="33657"/>
    <x v="2"/>
    <n v="269256"/>
    <n v="53851.199999999997"/>
    <n v="215404.79999999999"/>
  </r>
  <r>
    <n v="10053"/>
    <x v="52"/>
    <x v="2"/>
    <x v="2"/>
    <x v="0"/>
    <x v="5"/>
    <n v="24"/>
    <x v="1"/>
    <n v="6"/>
    <n v="44144"/>
    <x v="2"/>
    <n v="264864"/>
    <n v="52972.800000000003"/>
    <n v="211891.20000000001"/>
  </r>
  <r>
    <n v="10054"/>
    <x v="53"/>
    <x v="2"/>
    <x v="4"/>
    <x v="3"/>
    <x v="1"/>
    <n v="20"/>
    <x v="1"/>
    <n v="9"/>
    <n v="1120"/>
    <x v="3"/>
    <n v="10080"/>
    <n v="1008"/>
    <n v="9072"/>
  </r>
  <r>
    <n v="10055"/>
    <x v="54"/>
    <x v="0"/>
    <x v="0"/>
    <x v="2"/>
    <x v="3"/>
    <n v="52"/>
    <x v="3"/>
    <n v="5"/>
    <n v="44689"/>
    <x v="2"/>
    <n v="223445"/>
    <n v="44689"/>
    <n v="178756"/>
  </r>
  <r>
    <n v="10056"/>
    <x v="55"/>
    <x v="1"/>
    <x v="1"/>
    <x v="0"/>
    <x v="1"/>
    <n v="34"/>
    <x v="0"/>
    <n v="2"/>
    <n v="20165"/>
    <x v="4"/>
    <n v="40330"/>
    <n v="2016.5"/>
    <n v="38313.5"/>
  </r>
  <r>
    <n v="10057"/>
    <x v="56"/>
    <x v="1"/>
    <x v="0"/>
    <x v="3"/>
    <x v="2"/>
    <n v="20"/>
    <x v="1"/>
    <n v="7"/>
    <n v="30808"/>
    <x v="0"/>
    <n v="215656"/>
    <n v="0"/>
    <n v="215656"/>
  </r>
  <r>
    <n v="10058"/>
    <x v="57"/>
    <x v="3"/>
    <x v="1"/>
    <x v="1"/>
    <x v="2"/>
    <n v="41"/>
    <x v="4"/>
    <n v="2"/>
    <n v="44368"/>
    <x v="0"/>
    <n v="88736"/>
    <n v="0"/>
    <n v="88736"/>
  </r>
  <r>
    <n v="10059"/>
    <x v="58"/>
    <x v="0"/>
    <x v="2"/>
    <x v="1"/>
    <x v="6"/>
    <n v="64"/>
    <x v="2"/>
    <n v="5"/>
    <n v="5081"/>
    <x v="4"/>
    <n v="25405"/>
    <n v="1270.25"/>
    <n v="24134.75"/>
  </r>
  <r>
    <n v="10060"/>
    <x v="59"/>
    <x v="2"/>
    <x v="3"/>
    <x v="3"/>
    <x v="2"/>
    <n v="25"/>
    <x v="0"/>
    <n v="1"/>
    <n v="12672"/>
    <x v="4"/>
    <n v="12672"/>
    <n v="633.6"/>
    <n v="12038.4"/>
  </r>
  <r>
    <n v="10061"/>
    <x v="60"/>
    <x v="3"/>
    <x v="0"/>
    <x v="1"/>
    <x v="2"/>
    <n v="63"/>
    <x v="2"/>
    <n v="6"/>
    <n v="42598"/>
    <x v="0"/>
    <n v="255588"/>
    <n v="0"/>
    <n v="255588"/>
  </r>
  <r>
    <n v="10062"/>
    <x v="61"/>
    <x v="1"/>
    <x v="3"/>
    <x v="2"/>
    <x v="2"/>
    <n v="32"/>
    <x v="0"/>
    <n v="7"/>
    <n v="35114"/>
    <x v="4"/>
    <n v="245798"/>
    <n v="12289.9"/>
    <n v="233508.1"/>
  </r>
  <r>
    <n v="10063"/>
    <x v="62"/>
    <x v="1"/>
    <x v="1"/>
    <x v="0"/>
    <x v="2"/>
    <n v="54"/>
    <x v="3"/>
    <n v="8"/>
    <n v="15382"/>
    <x v="3"/>
    <n v="123056"/>
    <n v="12305.6"/>
    <n v="110750.39999999999"/>
  </r>
  <r>
    <n v="10064"/>
    <x v="63"/>
    <x v="3"/>
    <x v="1"/>
    <x v="3"/>
    <x v="1"/>
    <n v="44"/>
    <x v="4"/>
    <n v="8"/>
    <n v="18550"/>
    <x v="2"/>
    <n v="148400"/>
    <n v="29680"/>
    <n v="118720"/>
  </r>
  <r>
    <n v="10065"/>
    <x v="64"/>
    <x v="0"/>
    <x v="2"/>
    <x v="2"/>
    <x v="0"/>
    <n v="60"/>
    <x v="2"/>
    <n v="5"/>
    <n v="44374"/>
    <x v="2"/>
    <n v="221870"/>
    <n v="44374"/>
    <n v="177496"/>
  </r>
  <r>
    <n v="10066"/>
    <x v="65"/>
    <x v="0"/>
    <x v="0"/>
    <x v="3"/>
    <x v="1"/>
    <n v="57"/>
    <x v="2"/>
    <n v="4"/>
    <n v="20160"/>
    <x v="2"/>
    <n v="80640"/>
    <n v="16128"/>
    <n v="64512"/>
  </r>
  <r>
    <n v="10067"/>
    <x v="66"/>
    <x v="0"/>
    <x v="2"/>
    <x v="0"/>
    <x v="1"/>
    <n v="44"/>
    <x v="4"/>
    <n v="7"/>
    <n v="23094"/>
    <x v="4"/>
    <n v="161658"/>
    <n v="8082.9"/>
    <n v="153575.1"/>
  </r>
  <r>
    <n v="10068"/>
    <x v="67"/>
    <x v="1"/>
    <x v="1"/>
    <x v="3"/>
    <x v="0"/>
    <n v="63"/>
    <x v="2"/>
    <n v="4"/>
    <n v="49069"/>
    <x v="4"/>
    <n v="196276"/>
    <n v="9813.7999999999993"/>
    <n v="186462.2"/>
  </r>
  <r>
    <n v="10069"/>
    <x v="68"/>
    <x v="2"/>
    <x v="2"/>
    <x v="2"/>
    <x v="0"/>
    <n v="36"/>
    <x v="4"/>
    <n v="7"/>
    <n v="13340"/>
    <x v="3"/>
    <n v="93380"/>
    <n v="9338"/>
    <n v="84042"/>
  </r>
  <r>
    <n v="10070"/>
    <x v="69"/>
    <x v="2"/>
    <x v="4"/>
    <x v="3"/>
    <x v="7"/>
    <n v="38"/>
    <x v="4"/>
    <n v="8"/>
    <n v="44965"/>
    <x v="4"/>
    <n v="359720"/>
    <n v="17986"/>
    <n v="341734"/>
  </r>
  <r>
    <n v="10071"/>
    <x v="70"/>
    <x v="0"/>
    <x v="0"/>
    <x v="1"/>
    <x v="3"/>
    <n v="53"/>
    <x v="3"/>
    <n v="6"/>
    <n v="49128"/>
    <x v="4"/>
    <n v="294768"/>
    <n v="14738.4"/>
    <n v="280029.59999999998"/>
  </r>
  <r>
    <n v="10072"/>
    <x v="71"/>
    <x v="1"/>
    <x v="3"/>
    <x v="3"/>
    <x v="1"/>
    <n v="31"/>
    <x v="0"/>
    <n v="1"/>
    <n v="37002"/>
    <x v="2"/>
    <n v="37002"/>
    <n v="7400.4"/>
    <n v="29601.599999999999"/>
  </r>
  <r>
    <n v="10073"/>
    <x v="72"/>
    <x v="2"/>
    <x v="2"/>
    <x v="2"/>
    <x v="1"/>
    <n v="27"/>
    <x v="0"/>
    <n v="7"/>
    <n v="24883"/>
    <x v="4"/>
    <n v="174181"/>
    <n v="8709.0499999999993"/>
    <n v="165471.95000000001"/>
  </r>
  <r>
    <n v="10074"/>
    <x v="73"/>
    <x v="3"/>
    <x v="2"/>
    <x v="0"/>
    <x v="3"/>
    <n v="59"/>
    <x v="2"/>
    <n v="4"/>
    <n v="43695"/>
    <x v="1"/>
    <n v="174780"/>
    <n v="26217"/>
    <n v="148563"/>
  </r>
  <r>
    <n v="10075"/>
    <x v="74"/>
    <x v="2"/>
    <x v="2"/>
    <x v="1"/>
    <x v="3"/>
    <n v="43"/>
    <x v="4"/>
    <n v="8"/>
    <n v="17369"/>
    <x v="4"/>
    <n v="138952"/>
    <n v="6947.6"/>
    <n v="132004.4"/>
  </r>
  <r>
    <n v="10076"/>
    <x v="75"/>
    <x v="2"/>
    <x v="3"/>
    <x v="0"/>
    <x v="1"/>
    <n v="18"/>
    <x v="1"/>
    <n v="4"/>
    <n v="14101"/>
    <x v="0"/>
    <n v="56404"/>
    <n v="0"/>
    <n v="56404"/>
  </r>
  <r>
    <n v="10077"/>
    <x v="76"/>
    <x v="0"/>
    <x v="1"/>
    <x v="2"/>
    <x v="0"/>
    <n v="42"/>
    <x v="4"/>
    <n v="2"/>
    <n v="3342"/>
    <x v="3"/>
    <n v="6684"/>
    <n v="668.4"/>
    <n v="6015.6"/>
  </r>
  <r>
    <n v="10078"/>
    <x v="77"/>
    <x v="1"/>
    <x v="0"/>
    <x v="2"/>
    <x v="3"/>
    <n v="57"/>
    <x v="2"/>
    <n v="3"/>
    <n v="33321"/>
    <x v="1"/>
    <n v="99963"/>
    <n v="14994.45"/>
    <n v="84968.55"/>
  </r>
  <r>
    <n v="10079"/>
    <x v="78"/>
    <x v="0"/>
    <x v="3"/>
    <x v="1"/>
    <x v="3"/>
    <n v="39"/>
    <x v="4"/>
    <n v="5"/>
    <n v="46712"/>
    <x v="1"/>
    <n v="233560"/>
    <n v="35034"/>
    <n v="198526"/>
  </r>
  <r>
    <n v="10080"/>
    <x v="79"/>
    <x v="3"/>
    <x v="0"/>
    <x v="2"/>
    <x v="2"/>
    <n v="39"/>
    <x v="4"/>
    <n v="2"/>
    <n v="4306"/>
    <x v="2"/>
    <n v="8612"/>
    <n v="1722.4"/>
    <n v="6889.6"/>
  </r>
  <r>
    <n v="10081"/>
    <x v="80"/>
    <x v="1"/>
    <x v="1"/>
    <x v="2"/>
    <x v="5"/>
    <n v="63"/>
    <x v="2"/>
    <n v="1"/>
    <n v="41427"/>
    <x v="1"/>
    <n v="41427"/>
    <n v="6214.05"/>
    <n v="35212.949999999997"/>
  </r>
  <r>
    <n v="10082"/>
    <x v="81"/>
    <x v="2"/>
    <x v="3"/>
    <x v="1"/>
    <x v="7"/>
    <n v="62"/>
    <x v="2"/>
    <n v="7"/>
    <n v="22884"/>
    <x v="3"/>
    <n v="160188"/>
    <n v="16018.8"/>
    <n v="144169.20000000001"/>
  </r>
  <r>
    <n v="10083"/>
    <x v="82"/>
    <x v="2"/>
    <x v="4"/>
    <x v="3"/>
    <x v="4"/>
    <n v="42"/>
    <x v="4"/>
    <n v="6"/>
    <n v="14343"/>
    <x v="1"/>
    <n v="86058"/>
    <n v="12908.7"/>
    <n v="73149.3"/>
  </r>
  <r>
    <n v="10084"/>
    <x v="83"/>
    <x v="0"/>
    <x v="3"/>
    <x v="0"/>
    <x v="0"/>
    <n v="37"/>
    <x v="4"/>
    <n v="7"/>
    <n v="37625"/>
    <x v="3"/>
    <n v="263375"/>
    <n v="26337.5"/>
    <n v="237037.5"/>
  </r>
  <r>
    <n v="10085"/>
    <x v="84"/>
    <x v="1"/>
    <x v="0"/>
    <x v="0"/>
    <x v="0"/>
    <n v="22"/>
    <x v="1"/>
    <n v="4"/>
    <n v="23738"/>
    <x v="2"/>
    <n v="94952"/>
    <n v="18990.400000000001"/>
    <n v="75961.600000000006"/>
  </r>
  <r>
    <n v="10086"/>
    <x v="85"/>
    <x v="3"/>
    <x v="1"/>
    <x v="0"/>
    <x v="4"/>
    <n v="21"/>
    <x v="1"/>
    <n v="5"/>
    <n v="27861"/>
    <x v="1"/>
    <n v="139305"/>
    <n v="20895.75"/>
    <n v="118409.25"/>
  </r>
  <r>
    <n v="10087"/>
    <x v="86"/>
    <x v="1"/>
    <x v="3"/>
    <x v="1"/>
    <x v="0"/>
    <n v="24"/>
    <x v="1"/>
    <n v="5"/>
    <n v="24906"/>
    <x v="0"/>
    <n v="124530"/>
    <n v="0"/>
    <n v="124530"/>
  </r>
  <r>
    <n v="10088"/>
    <x v="87"/>
    <x v="1"/>
    <x v="4"/>
    <x v="2"/>
    <x v="6"/>
    <n v="53"/>
    <x v="3"/>
    <n v="7"/>
    <n v="38948"/>
    <x v="0"/>
    <n v="272636"/>
    <n v="0"/>
    <n v="272636"/>
  </r>
  <r>
    <n v="10089"/>
    <x v="88"/>
    <x v="3"/>
    <x v="2"/>
    <x v="2"/>
    <x v="0"/>
    <n v="64"/>
    <x v="2"/>
    <n v="5"/>
    <n v="37996"/>
    <x v="4"/>
    <n v="189980"/>
    <n v="9499"/>
    <n v="180481"/>
  </r>
  <r>
    <n v="10090"/>
    <x v="89"/>
    <x v="0"/>
    <x v="0"/>
    <x v="2"/>
    <x v="7"/>
    <n v="52"/>
    <x v="3"/>
    <n v="7"/>
    <n v="7711"/>
    <x v="1"/>
    <n v="53977"/>
    <n v="8096.55"/>
    <n v="45880.45"/>
  </r>
  <r>
    <n v="10091"/>
    <x v="90"/>
    <x v="2"/>
    <x v="0"/>
    <x v="3"/>
    <x v="6"/>
    <n v="42"/>
    <x v="4"/>
    <n v="9"/>
    <n v="16101"/>
    <x v="0"/>
    <n v="144909"/>
    <n v="0"/>
    <n v="144909"/>
  </r>
  <r>
    <n v="10092"/>
    <x v="91"/>
    <x v="3"/>
    <x v="3"/>
    <x v="1"/>
    <x v="5"/>
    <n v="41"/>
    <x v="4"/>
    <n v="6"/>
    <n v="109"/>
    <x v="4"/>
    <n v="654"/>
    <n v="32.700000000000003"/>
    <n v="621.29999999999995"/>
  </r>
  <r>
    <n v="10093"/>
    <x v="92"/>
    <x v="0"/>
    <x v="3"/>
    <x v="0"/>
    <x v="0"/>
    <n v="27"/>
    <x v="0"/>
    <n v="5"/>
    <n v="17243"/>
    <x v="1"/>
    <n v="86215"/>
    <n v="12932.25"/>
    <n v="73282.75"/>
  </r>
  <r>
    <n v="10094"/>
    <x v="93"/>
    <x v="1"/>
    <x v="3"/>
    <x v="2"/>
    <x v="6"/>
    <n v="38"/>
    <x v="4"/>
    <n v="2"/>
    <n v="16161"/>
    <x v="2"/>
    <n v="32322"/>
    <n v="6464.4"/>
    <n v="25857.599999999999"/>
  </r>
  <r>
    <n v="10095"/>
    <x v="94"/>
    <x v="1"/>
    <x v="0"/>
    <x v="2"/>
    <x v="6"/>
    <n v="30"/>
    <x v="0"/>
    <n v="7"/>
    <n v="2940"/>
    <x v="0"/>
    <n v="20580"/>
    <n v="0"/>
    <n v="20580"/>
  </r>
  <r>
    <n v="10096"/>
    <x v="95"/>
    <x v="3"/>
    <x v="4"/>
    <x v="0"/>
    <x v="4"/>
    <n v="26"/>
    <x v="0"/>
    <n v="8"/>
    <n v="36489"/>
    <x v="1"/>
    <n v="291912"/>
    <n v="43786.8"/>
    <n v="248125.2"/>
  </r>
  <r>
    <n v="10097"/>
    <x v="96"/>
    <x v="1"/>
    <x v="2"/>
    <x v="2"/>
    <x v="3"/>
    <n v="33"/>
    <x v="0"/>
    <n v="5"/>
    <n v="2767"/>
    <x v="3"/>
    <n v="13835"/>
    <n v="1383.5"/>
    <n v="12451.5"/>
  </r>
  <r>
    <n v="10098"/>
    <x v="97"/>
    <x v="0"/>
    <x v="2"/>
    <x v="0"/>
    <x v="2"/>
    <n v="36"/>
    <x v="4"/>
    <n v="4"/>
    <n v="24234"/>
    <x v="1"/>
    <n v="96936"/>
    <n v="14540.4"/>
    <n v="82395.600000000006"/>
  </r>
  <r>
    <n v="10099"/>
    <x v="98"/>
    <x v="2"/>
    <x v="2"/>
    <x v="3"/>
    <x v="0"/>
    <n v="59"/>
    <x v="2"/>
    <n v="4"/>
    <n v="36631"/>
    <x v="3"/>
    <n v="146524"/>
    <n v="14652.4"/>
    <n v="131871.6"/>
  </r>
  <r>
    <n v="10100"/>
    <x v="99"/>
    <x v="1"/>
    <x v="4"/>
    <x v="3"/>
    <x v="5"/>
    <n v="45"/>
    <x v="3"/>
    <n v="5"/>
    <n v="29238"/>
    <x v="0"/>
    <n v="146190"/>
    <n v="0"/>
    <n v="146190"/>
  </r>
  <r>
    <n v="10101"/>
    <x v="100"/>
    <x v="0"/>
    <x v="3"/>
    <x v="2"/>
    <x v="3"/>
    <n v="50"/>
    <x v="3"/>
    <n v="9"/>
    <n v="25015"/>
    <x v="3"/>
    <n v="225135"/>
    <n v="22513.5"/>
    <n v="202621.5"/>
  </r>
  <r>
    <n v="10102"/>
    <x v="101"/>
    <x v="0"/>
    <x v="2"/>
    <x v="0"/>
    <x v="5"/>
    <n v="36"/>
    <x v="4"/>
    <n v="3"/>
    <n v="38606"/>
    <x v="1"/>
    <n v="115818"/>
    <n v="17372.7"/>
    <n v="98445.3"/>
  </r>
  <r>
    <n v="10103"/>
    <x v="102"/>
    <x v="1"/>
    <x v="2"/>
    <x v="1"/>
    <x v="5"/>
    <n v="43"/>
    <x v="4"/>
    <n v="9"/>
    <n v="15261"/>
    <x v="1"/>
    <n v="137349"/>
    <n v="20602.349999999999"/>
    <n v="116746.65"/>
  </r>
  <r>
    <n v="10104"/>
    <x v="103"/>
    <x v="3"/>
    <x v="3"/>
    <x v="3"/>
    <x v="3"/>
    <n v="25"/>
    <x v="0"/>
    <n v="5"/>
    <n v="17782"/>
    <x v="3"/>
    <n v="88910"/>
    <n v="8891"/>
    <n v="80019"/>
  </r>
  <r>
    <n v="10105"/>
    <x v="104"/>
    <x v="2"/>
    <x v="3"/>
    <x v="0"/>
    <x v="7"/>
    <n v="27"/>
    <x v="0"/>
    <n v="9"/>
    <n v="30993"/>
    <x v="0"/>
    <n v="278937"/>
    <n v="0"/>
    <n v="278937"/>
  </r>
  <r>
    <n v="10106"/>
    <x v="105"/>
    <x v="2"/>
    <x v="1"/>
    <x v="2"/>
    <x v="6"/>
    <n v="50"/>
    <x v="3"/>
    <n v="9"/>
    <n v="546"/>
    <x v="4"/>
    <n v="4914"/>
    <n v="245.7"/>
    <n v="4668.3"/>
  </r>
  <r>
    <n v="10107"/>
    <x v="106"/>
    <x v="3"/>
    <x v="4"/>
    <x v="3"/>
    <x v="3"/>
    <n v="43"/>
    <x v="4"/>
    <n v="5"/>
    <n v="36922"/>
    <x v="2"/>
    <n v="184610"/>
    <n v="36922"/>
    <n v="147688"/>
  </r>
  <r>
    <n v="10108"/>
    <x v="107"/>
    <x v="3"/>
    <x v="2"/>
    <x v="2"/>
    <x v="4"/>
    <n v="33"/>
    <x v="0"/>
    <n v="4"/>
    <n v="28710"/>
    <x v="4"/>
    <n v="114840"/>
    <n v="5742"/>
    <n v="109098"/>
  </r>
  <r>
    <n v="10109"/>
    <x v="108"/>
    <x v="1"/>
    <x v="1"/>
    <x v="3"/>
    <x v="2"/>
    <n v="42"/>
    <x v="4"/>
    <n v="9"/>
    <n v="31894"/>
    <x v="1"/>
    <n v="287046"/>
    <n v="43056.9"/>
    <n v="243989.1"/>
  </r>
  <r>
    <n v="10110"/>
    <x v="109"/>
    <x v="1"/>
    <x v="4"/>
    <x v="2"/>
    <x v="0"/>
    <n v="40"/>
    <x v="4"/>
    <n v="2"/>
    <n v="28993"/>
    <x v="0"/>
    <n v="57986"/>
    <n v="0"/>
    <n v="57986"/>
  </r>
  <r>
    <n v="10111"/>
    <x v="110"/>
    <x v="1"/>
    <x v="4"/>
    <x v="3"/>
    <x v="1"/>
    <n v="52"/>
    <x v="3"/>
    <n v="1"/>
    <n v="46636"/>
    <x v="1"/>
    <n v="46636"/>
    <n v="6995.4"/>
    <n v="39640.6"/>
  </r>
  <r>
    <n v="10112"/>
    <x v="111"/>
    <x v="1"/>
    <x v="0"/>
    <x v="0"/>
    <x v="2"/>
    <n v="25"/>
    <x v="0"/>
    <n v="9"/>
    <n v="41692"/>
    <x v="4"/>
    <n v="375228"/>
    <n v="18761.400000000001"/>
    <n v="356466.6"/>
  </r>
  <r>
    <n v="10113"/>
    <x v="112"/>
    <x v="0"/>
    <x v="3"/>
    <x v="2"/>
    <x v="3"/>
    <n v="55"/>
    <x v="2"/>
    <n v="7"/>
    <n v="16459"/>
    <x v="4"/>
    <n v="115213"/>
    <n v="5760.65"/>
    <n v="109452.35"/>
  </r>
  <r>
    <n v="10114"/>
    <x v="113"/>
    <x v="1"/>
    <x v="2"/>
    <x v="1"/>
    <x v="5"/>
    <n v="52"/>
    <x v="3"/>
    <n v="6"/>
    <n v="21162"/>
    <x v="3"/>
    <n v="126972"/>
    <n v="12697.2"/>
    <n v="114274.8"/>
  </r>
  <r>
    <n v="10115"/>
    <x v="114"/>
    <x v="1"/>
    <x v="1"/>
    <x v="1"/>
    <x v="1"/>
    <n v="57"/>
    <x v="2"/>
    <n v="8"/>
    <n v="12080"/>
    <x v="4"/>
    <n v="96640"/>
    <n v="4832"/>
    <n v="91808"/>
  </r>
  <r>
    <n v="10116"/>
    <x v="115"/>
    <x v="2"/>
    <x v="2"/>
    <x v="0"/>
    <x v="4"/>
    <n v="18"/>
    <x v="1"/>
    <n v="6"/>
    <n v="4404"/>
    <x v="1"/>
    <n v="26424"/>
    <n v="3963.6"/>
    <n v="22460.400000000001"/>
  </r>
  <r>
    <n v="10117"/>
    <x v="116"/>
    <x v="3"/>
    <x v="1"/>
    <x v="0"/>
    <x v="0"/>
    <n v="29"/>
    <x v="0"/>
    <n v="3"/>
    <n v="23688"/>
    <x v="1"/>
    <n v="71064"/>
    <n v="10659.6"/>
    <n v="60404.4"/>
  </r>
  <r>
    <n v="10118"/>
    <x v="117"/>
    <x v="3"/>
    <x v="2"/>
    <x v="3"/>
    <x v="5"/>
    <n v="27"/>
    <x v="0"/>
    <n v="7"/>
    <n v="40744"/>
    <x v="3"/>
    <n v="285208"/>
    <n v="28520.799999999999"/>
    <n v="256687.2"/>
  </r>
  <r>
    <n v="10119"/>
    <x v="118"/>
    <x v="3"/>
    <x v="4"/>
    <x v="3"/>
    <x v="5"/>
    <n v="18"/>
    <x v="1"/>
    <n v="8"/>
    <n v="10707"/>
    <x v="3"/>
    <n v="85656"/>
    <n v="8565.6"/>
    <n v="77090.399999999994"/>
  </r>
  <r>
    <n v="10120"/>
    <x v="119"/>
    <x v="2"/>
    <x v="4"/>
    <x v="3"/>
    <x v="3"/>
    <n v="57"/>
    <x v="2"/>
    <n v="5"/>
    <n v="18184"/>
    <x v="3"/>
    <n v="90920"/>
    <n v="9092"/>
    <n v="81828"/>
  </r>
  <r>
    <n v="10121"/>
    <x v="120"/>
    <x v="2"/>
    <x v="3"/>
    <x v="0"/>
    <x v="4"/>
    <n v="32"/>
    <x v="0"/>
    <n v="7"/>
    <n v="14543"/>
    <x v="1"/>
    <n v="101801"/>
    <n v="15270.15"/>
    <n v="86530.85"/>
  </r>
  <r>
    <n v="10122"/>
    <x v="121"/>
    <x v="1"/>
    <x v="0"/>
    <x v="2"/>
    <x v="4"/>
    <n v="40"/>
    <x v="4"/>
    <n v="9"/>
    <n v="32048"/>
    <x v="3"/>
    <n v="288432"/>
    <n v="28843.200000000001"/>
    <n v="259588.8"/>
  </r>
  <r>
    <n v="10123"/>
    <x v="122"/>
    <x v="1"/>
    <x v="1"/>
    <x v="0"/>
    <x v="6"/>
    <n v="44"/>
    <x v="4"/>
    <n v="4"/>
    <n v="11280"/>
    <x v="4"/>
    <n v="45120"/>
    <n v="2256"/>
    <n v="42864"/>
  </r>
  <r>
    <n v="10124"/>
    <x v="123"/>
    <x v="0"/>
    <x v="0"/>
    <x v="3"/>
    <x v="1"/>
    <n v="33"/>
    <x v="0"/>
    <n v="2"/>
    <n v="35859"/>
    <x v="3"/>
    <n v="71718"/>
    <n v="7171.8"/>
    <n v="64546.2"/>
  </r>
  <r>
    <n v="10125"/>
    <x v="124"/>
    <x v="0"/>
    <x v="1"/>
    <x v="3"/>
    <x v="6"/>
    <n v="35"/>
    <x v="4"/>
    <n v="9"/>
    <n v="29142"/>
    <x v="1"/>
    <n v="262278"/>
    <n v="39341.699999999997"/>
    <n v="222936.3"/>
  </r>
  <r>
    <n v="10126"/>
    <x v="125"/>
    <x v="0"/>
    <x v="2"/>
    <x v="3"/>
    <x v="3"/>
    <n v="30"/>
    <x v="0"/>
    <n v="3"/>
    <n v="31059"/>
    <x v="3"/>
    <n v="93177"/>
    <n v="9317.7000000000007"/>
    <n v="83859.3"/>
  </r>
  <r>
    <n v="10127"/>
    <x v="126"/>
    <x v="1"/>
    <x v="4"/>
    <x v="0"/>
    <x v="7"/>
    <n v="46"/>
    <x v="3"/>
    <n v="6"/>
    <n v="4624"/>
    <x v="2"/>
    <n v="27744"/>
    <n v="5548.8"/>
    <n v="22195.200000000001"/>
  </r>
  <r>
    <n v="10128"/>
    <x v="127"/>
    <x v="2"/>
    <x v="0"/>
    <x v="1"/>
    <x v="1"/>
    <n v="44"/>
    <x v="4"/>
    <n v="1"/>
    <n v="43543"/>
    <x v="3"/>
    <n v="43543"/>
    <n v="4354.3"/>
    <n v="39188.699999999997"/>
  </r>
  <r>
    <n v="10129"/>
    <x v="128"/>
    <x v="2"/>
    <x v="3"/>
    <x v="0"/>
    <x v="6"/>
    <n v="42"/>
    <x v="4"/>
    <n v="7"/>
    <n v="6008"/>
    <x v="3"/>
    <n v="42056"/>
    <n v="4205.6000000000004"/>
    <n v="37850.400000000001"/>
  </r>
  <r>
    <n v="10130"/>
    <x v="129"/>
    <x v="0"/>
    <x v="0"/>
    <x v="0"/>
    <x v="7"/>
    <n v="50"/>
    <x v="3"/>
    <n v="3"/>
    <n v="26982"/>
    <x v="3"/>
    <n v="80946"/>
    <n v="8094.6"/>
    <n v="72851.399999999994"/>
  </r>
  <r>
    <n v="10131"/>
    <x v="130"/>
    <x v="0"/>
    <x v="2"/>
    <x v="3"/>
    <x v="0"/>
    <n v="61"/>
    <x v="2"/>
    <n v="8"/>
    <n v="11282"/>
    <x v="0"/>
    <n v="90256"/>
    <n v="0"/>
    <n v="90256"/>
  </r>
  <r>
    <n v="10132"/>
    <x v="131"/>
    <x v="3"/>
    <x v="3"/>
    <x v="0"/>
    <x v="0"/>
    <n v="43"/>
    <x v="4"/>
    <n v="6"/>
    <n v="7905"/>
    <x v="4"/>
    <n v="47430"/>
    <n v="2371.5"/>
    <n v="45058.5"/>
  </r>
  <r>
    <n v="10133"/>
    <x v="132"/>
    <x v="2"/>
    <x v="3"/>
    <x v="0"/>
    <x v="6"/>
    <n v="52"/>
    <x v="3"/>
    <n v="4"/>
    <n v="13019"/>
    <x v="1"/>
    <n v="52076"/>
    <n v="7811.4"/>
    <n v="44264.6"/>
  </r>
  <r>
    <n v="10134"/>
    <x v="133"/>
    <x v="0"/>
    <x v="3"/>
    <x v="0"/>
    <x v="6"/>
    <n v="31"/>
    <x v="0"/>
    <n v="7"/>
    <n v="10318"/>
    <x v="2"/>
    <n v="72226"/>
    <n v="14445.2"/>
    <n v="57780.800000000003"/>
  </r>
  <r>
    <n v="10135"/>
    <x v="134"/>
    <x v="3"/>
    <x v="4"/>
    <x v="3"/>
    <x v="6"/>
    <n v="23"/>
    <x v="1"/>
    <n v="5"/>
    <n v="25648"/>
    <x v="3"/>
    <n v="128240"/>
    <n v="12824"/>
    <n v="115416"/>
  </r>
  <r>
    <n v="10136"/>
    <x v="135"/>
    <x v="3"/>
    <x v="2"/>
    <x v="2"/>
    <x v="3"/>
    <n v="64"/>
    <x v="2"/>
    <n v="4"/>
    <n v="36554"/>
    <x v="3"/>
    <n v="146216"/>
    <n v="14621.6"/>
    <n v="131594.4"/>
  </r>
  <r>
    <n v="10137"/>
    <x v="136"/>
    <x v="2"/>
    <x v="3"/>
    <x v="3"/>
    <x v="1"/>
    <n v="55"/>
    <x v="2"/>
    <n v="2"/>
    <n v="22920"/>
    <x v="0"/>
    <n v="45840"/>
    <n v="0"/>
    <n v="45840"/>
  </r>
  <r>
    <n v="10138"/>
    <x v="137"/>
    <x v="1"/>
    <x v="3"/>
    <x v="2"/>
    <x v="2"/>
    <n v="18"/>
    <x v="1"/>
    <n v="4"/>
    <n v="5777"/>
    <x v="1"/>
    <n v="23108"/>
    <n v="3466.2"/>
    <n v="19641.8"/>
  </r>
  <r>
    <n v="10139"/>
    <x v="138"/>
    <x v="0"/>
    <x v="1"/>
    <x v="3"/>
    <x v="4"/>
    <n v="28"/>
    <x v="0"/>
    <n v="5"/>
    <n v="8306"/>
    <x v="3"/>
    <n v="41530"/>
    <n v="4153"/>
    <n v="37377"/>
  </r>
  <r>
    <n v="10140"/>
    <x v="139"/>
    <x v="1"/>
    <x v="2"/>
    <x v="0"/>
    <x v="0"/>
    <n v="51"/>
    <x v="3"/>
    <n v="2"/>
    <n v="19836"/>
    <x v="0"/>
    <n v="39672"/>
    <n v="0"/>
    <n v="39672"/>
  </r>
  <r>
    <n v="10141"/>
    <x v="140"/>
    <x v="1"/>
    <x v="2"/>
    <x v="1"/>
    <x v="5"/>
    <n v="19"/>
    <x v="1"/>
    <n v="4"/>
    <n v="7736"/>
    <x v="2"/>
    <n v="30944"/>
    <n v="6188.8"/>
    <n v="24755.200000000001"/>
  </r>
  <r>
    <n v="10142"/>
    <x v="141"/>
    <x v="0"/>
    <x v="0"/>
    <x v="1"/>
    <x v="4"/>
    <n v="26"/>
    <x v="0"/>
    <n v="9"/>
    <n v="7979"/>
    <x v="4"/>
    <n v="71811"/>
    <n v="3590.55"/>
    <n v="68220.45"/>
  </r>
  <r>
    <n v="10143"/>
    <x v="142"/>
    <x v="2"/>
    <x v="2"/>
    <x v="2"/>
    <x v="5"/>
    <n v="45"/>
    <x v="3"/>
    <n v="1"/>
    <n v="31106"/>
    <x v="1"/>
    <n v="31106"/>
    <n v="4665.8999999999996"/>
    <n v="26440.1"/>
  </r>
  <r>
    <n v="10144"/>
    <x v="143"/>
    <x v="1"/>
    <x v="0"/>
    <x v="3"/>
    <x v="2"/>
    <n v="39"/>
    <x v="4"/>
    <n v="4"/>
    <n v="3137"/>
    <x v="4"/>
    <n v="12548"/>
    <n v="627.4"/>
    <n v="11920.6"/>
  </r>
  <r>
    <n v="10145"/>
    <x v="144"/>
    <x v="2"/>
    <x v="2"/>
    <x v="2"/>
    <x v="3"/>
    <n v="40"/>
    <x v="4"/>
    <n v="5"/>
    <n v="12355"/>
    <x v="2"/>
    <n v="61775"/>
    <n v="12355"/>
    <n v="49420"/>
  </r>
  <r>
    <n v="10146"/>
    <x v="145"/>
    <x v="1"/>
    <x v="3"/>
    <x v="0"/>
    <x v="4"/>
    <n v="55"/>
    <x v="2"/>
    <n v="7"/>
    <n v="35183"/>
    <x v="1"/>
    <n v="246281"/>
    <n v="36942.15"/>
    <n v="209338.85"/>
  </r>
  <r>
    <n v="10147"/>
    <x v="146"/>
    <x v="2"/>
    <x v="2"/>
    <x v="3"/>
    <x v="4"/>
    <n v="26"/>
    <x v="0"/>
    <n v="9"/>
    <n v="23830"/>
    <x v="0"/>
    <n v="214470"/>
    <n v="0"/>
    <n v="214470"/>
  </r>
  <r>
    <n v="10148"/>
    <x v="147"/>
    <x v="3"/>
    <x v="0"/>
    <x v="0"/>
    <x v="1"/>
    <n v="28"/>
    <x v="0"/>
    <n v="6"/>
    <n v="21164"/>
    <x v="4"/>
    <n v="126984"/>
    <n v="6349.2"/>
    <n v="120634.8"/>
  </r>
  <r>
    <n v="10149"/>
    <x v="148"/>
    <x v="2"/>
    <x v="4"/>
    <x v="2"/>
    <x v="3"/>
    <n v="46"/>
    <x v="3"/>
    <n v="9"/>
    <n v="24872"/>
    <x v="4"/>
    <n v="223848"/>
    <n v="11192.4"/>
    <n v="212655.6"/>
  </r>
  <r>
    <n v="10150"/>
    <x v="149"/>
    <x v="1"/>
    <x v="0"/>
    <x v="0"/>
    <x v="6"/>
    <n v="32"/>
    <x v="0"/>
    <n v="5"/>
    <n v="24398"/>
    <x v="4"/>
    <n v="121990"/>
    <n v="6099.5"/>
    <n v="115890.5"/>
  </r>
  <r>
    <n v="10151"/>
    <x v="150"/>
    <x v="1"/>
    <x v="0"/>
    <x v="1"/>
    <x v="3"/>
    <n v="32"/>
    <x v="0"/>
    <n v="4"/>
    <n v="36531"/>
    <x v="0"/>
    <n v="146124"/>
    <n v="0"/>
    <n v="146124"/>
  </r>
  <r>
    <n v="10152"/>
    <x v="151"/>
    <x v="0"/>
    <x v="0"/>
    <x v="2"/>
    <x v="7"/>
    <n v="42"/>
    <x v="4"/>
    <n v="3"/>
    <n v="21218"/>
    <x v="3"/>
    <n v="63654"/>
    <n v="6365.4"/>
    <n v="57288.6"/>
  </r>
  <r>
    <n v="10153"/>
    <x v="152"/>
    <x v="2"/>
    <x v="3"/>
    <x v="1"/>
    <x v="0"/>
    <n v="63"/>
    <x v="2"/>
    <n v="7"/>
    <n v="22690"/>
    <x v="2"/>
    <n v="158830"/>
    <n v="31766"/>
    <n v="127064"/>
  </r>
  <r>
    <n v="10154"/>
    <x v="153"/>
    <x v="0"/>
    <x v="4"/>
    <x v="2"/>
    <x v="3"/>
    <n v="60"/>
    <x v="2"/>
    <n v="2"/>
    <n v="10422"/>
    <x v="3"/>
    <n v="20844"/>
    <n v="2084.4"/>
    <n v="18759.599999999999"/>
  </r>
  <r>
    <n v="10155"/>
    <x v="154"/>
    <x v="2"/>
    <x v="2"/>
    <x v="3"/>
    <x v="2"/>
    <n v="40"/>
    <x v="4"/>
    <n v="2"/>
    <n v="7303"/>
    <x v="4"/>
    <n v="14606"/>
    <n v="730.3"/>
    <n v="13875.7"/>
  </r>
  <r>
    <n v="10156"/>
    <x v="155"/>
    <x v="2"/>
    <x v="4"/>
    <x v="0"/>
    <x v="7"/>
    <n v="48"/>
    <x v="3"/>
    <n v="6"/>
    <n v="45808"/>
    <x v="4"/>
    <n v="274848"/>
    <n v="13742.4"/>
    <n v="261105.6"/>
  </r>
  <r>
    <n v="10157"/>
    <x v="156"/>
    <x v="3"/>
    <x v="4"/>
    <x v="3"/>
    <x v="3"/>
    <n v="37"/>
    <x v="4"/>
    <n v="1"/>
    <n v="21472"/>
    <x v="0"/>
    <n v="21472"/>
    <n v="0"/>
    <n v="21472"/>
  </r>
  <r>
    <n v="10158"/>
    <x v="157"/>
    <x v="2"/>
    <x v="3"/>
    <x v="1"/>
    <x v="6"/>
    <n v="31"/>
    <x v="0"/>
    <n v="1"/>
    <n v="16181"/>
    <x v="4"/>
    <n v="16181"/>
    <n v="809.05"/>
    <n v="15371.95"/>
  </r>
  <r>
    <n v="10159"/>
    <x v="158"/>
    <x v="0"/>
    <x v="3"/>
    <x v="1"/>
    <x v="0"/>
    <n v="25"/>
    <x v="0"/>
    <n v="3"/>
    <n v="16131"/>
    <x v="3"/>
    <n v="48393"/>
    <n v="4839.3"/>
    <n v="43553.7"/>
  </r>
  <r>
    <n v="10160"/>
    <x v="159"/>
    <x v="3"/>
    <x v="2"/>
    <x v="2"/>
    <x v="5"/>
    <n v="59"/>
    <x v="2"/>
    <n v="9"/>
    <n v="24746"/>
    <x v="2"/>
    <n v="222714"/>
    <n v="44542.8"/>
    <n v="178171.2"/>
  </r>
  <r>
    <n v="10161"/>
    <x v="160"/>
    <x v="1"/>
    <x v="4"/>
    <x v="2"/>
    <x v="5"/>
    <n v="60"/>
    <x v="2"/>
    <n v="4"/>
    <n v="28074"/>
    <x v="2"/>
    <n v="112296"/>
    <n v="22459.200000000001"/>
    <n v="89836.800000000003"/>
  </r>
  <r>
    <n v="10162"/>
    <x v="161"/>
    <x v="2"/>
    <x v="4"/>
    <x v="1"/>
    <x v="6"/>
    <n v="36"/>
    <x v="4"/>
    <n v="6"/>
    <n v="42681"/>
    <x v="2"/>
    <n v="256086"/>
    <n v="51217.2"/>
    <n v="204868.8"/>
  </r>
  <r>
    <n v="10163"/>
    <x v="162"/>
    <x v="0"/>
    <x v="3"/>
    <x v="2"/>
    <x v="1"/>
    <n v="29"/>
    <x v="0"/>
    <n v="5"/>
    <n v="11005"/>
    <x v="3"/>
    <n v="55025"/>
    <n v="5502.5"/>
    <n v="49522.5"/>
  </r>
  <r>
    <n v="10164"/>
    <x v="163"/>
    <x v="1"/>
    <x v="3"/>
    <x v="3"/>
    <x v="5"/>
    <n v="30"/>
    <x v="0"/>
    <n v="3"/>
    <n v="14168"/>
    <x v="0"/>
    <n v="42504"/>
    <n v="0"/>
    <n v="42504"/>
  </r>
  <r>
    <n v="10165"/>
    <x v="164"/>
    <x v="0"/>
    <x v="4"/>
    <x v="2"/>
    <x v="7"/>
    <n v="46"/>
    <x v="3"/>
    <n v="9"/>
    <n v="38140"/>
    <x v="3"/>
    <n v="343260"/>
    <n v="34326"/>
    <n v="308934"/>
  </r>
  <r>
    <n v="10166"/>
    <x v="165"/>
    <x v="2"/>
    <x v="3"/>
    <x v="3"/>
    <x v="3"/>
    <n v="55"/>
    <x v="2"/>
    <n v="2"/>
    <n v="47384"/>
    <x v="4"/>
    <n v="94768"/>
    <n v="4738.3999999999996"/>
    <n v="90029.6"/>
  </r>
  <r>
    <n v="10167"/>
    <x v="166"/>
    <x v="3"/>
    <x v="4"/>
    <x v="0"/>
    <x v="6"/>
    <n v="63"/>
    <x v="2"/>
    <n v="9"/>
    <n v="16985"/>
    <x v="0"/>
    <n v="152865"/>
    <n v="0"/>
    <n v="152865"/>
  </r>
  <r>
    <n v="10168"/>
    <x v="167"/>
    <x v="2"/>
    <x v="4"/>
    <x v="3"/>
    <x v="5"/>
    <n v="48"/>
    <x v="3"/>
    <n v="3"/>
    <n v="33125"/>
    <x v="0"/>
    <n v="99375"/>
    <n v="0"/>
    <n v="99375"/>
  </r>
  <r>
    <n v="10169"/>
    <x v="168"/>
    <x v="2"/>
    <x v="4"/>
    <x v="1"/>
    <x v="2"/>
    <n v="40"/>
    <x v="4"/>
    <n v="1"/>
    <n v="18109"/>
    <x v="0"/>
    <n v="18109"/>
    <n v="0"/>
    <n v="18109"/>
  </r>
  <r>
    <n v="10170"/>
    <x v="169"/>
    <x v="2"/>
    <x v="2"/>
    <x v="1"/>
    <x v="0"/>
    <n v="30"/>
    <x v="0"/>
    <n v="2"/>
    <n v="48151"/>
    <x v="2"/>
    <n v="96302"/>
    <n v="19260.400000000001"/>
    <n v="77041.600000000006"/>
  </r>
  <r>
    <n v="10171"/>
    <x v="170"/>
    <x v="2"/>
    <x v="4"/>
    <x v="3"/>
    <x v="5"/>
    <n v="43"/>
    <x v="4"/>
    <n v="4"/>
    <n v="16451"/>
    <x v="0"/>
    <n v="65804"/>
    <n v="0"/>
    <n v="65804"/>
  </r>
  <r>
    <n v="10172"/>
    <x v="171"/>
    <x v="0"/>
    <x v="1"/>
    <x v="0"/>
    <x v="4"/>
    <n v="56"/>
    <x v="2"/>
    <n v="4"/>
    <n v="39586"/>
    <x v="0"/>
    <n v="158344"/>
    <n v="0"/>
    <n v="158344"/>
  </r>
  <r>
    <n v="10173"/>
    <x v="172"/>
    <x v="3"/>
    <x v="0"/>
    <x v="2"/>
    <x v="5"/>
    <n v="40"/>
    <x v="4"/>
    <n v="7"/>
    <n v="25101"/>
    <x v="2"/>
    <n v="175707"/>
    <n v="35141.4"/>
    <n v="140565.6"/>
  </r>
  <r>
    <n v="10174"/>
    <x v="173"/>
    <x v="2"/>
    <x v="2"/>
    <x v="2"/>
    <x v="5"/>
    <n v="29"/>
    <x v="0"/>
    <n v="8"/>
    <n v="49703"/>
    <x v="3"/>
    <n v="397624"/>
    <n v="39762.400000000001"/>
    <n v="357861.6"/>
  </r>
  <r>
    <n v="10175"/>
    <x v="174"/>
    <x v="0"/>
    <x v="0"/>
    <x v="1"/>
    <x v="7"/>
    <n v="37"/>
    <x v="4"/>
    <n v="1"/>
    <n v="42790"/>
    <x v="3"/>
    <n v="42790"/>
    <n v="4279"/>
    <n v="38511"/>
  </r>
  <r>
    <n v="10176"/>
    <x v="175"/>
    <x v="2"/>
    <x v="1"/>
    <x v="2"/>
    <x v="6"/>
    <n v="62"/>
    <x v="2"/>
    <n v="3"/>
    <n v="46990"/>
    <x v="0"/>
    <n v="140970"/>
    <n v="0"/>
    <n v="140970"/>
  </r>
  <r>
    <n v="10177"/>
    <x v="176"/>
    <x v="3"/>
    <x v="1"/>
    <x v="3"/>
    <x v="4"/>
    <n v="42"/>
    <x v="4"/>
    <n v="1"/>
    <n v="37146"/>
    <x v="3"/>
    <n v="37146"/>
    <n v="3714.6"/>
    <n v="33431.4"/>
  </r>
  <r>
    <n v="10178"/>
    <x v="177"/>
    <x v="1"/>
    <x v="2"/>
    <x v="2"/>
    <x v="4"/>
    <n v="28"/>
    <x v="0"/>
    <n v="8"/>
    <n v="23114"/>
    <x v="1"/>
    <n v="184912"/>
    <n v="27736.799999999999"/>
    <n v="157175.20000000001"/>
  </r>
  <r>
    <n v="10179"/>
    <x v="178"/>
    <x v="0"/>
    <x v="1"/>
    <x v="0"/>
    <x v="6"/>
    <n v="45"/>
    <x v="3"/>
    <n v="9"/>
    <n v="13739"/>
    <x v="3"/>
    <n v="123651"/>
    <n v="12365.1"/>
    <n v="111285.9"/>
  </r>
  <r>
    <n v="10180"/>
    <x v="179"/>
    <x v="3"/>
    <x v="4"/>
    <x v="3"/>
    <x v="5"/>
    <n v="44"/>
    <x v="4"/>
    <n v="2"/>
    <n v="17664"/>
    <x v="3"/>
    <n v="35328"/>
    <n v="3532.8"/>
    <n v="31795.200000000001"/>
  </r>
  <r>
    <n v="10181"/>
    <x v="180"/>
    <x v="2"/>
    <x v="3"/>
    <x v="1"/>
    <x v="7"/>
    <n v="58"/>
    <x v="2"/>
    <n v="7"/>
    <n v="37323"/>
    <x v="2"/>
    <n v="261261"/>
    <n v="52252.2"/>
    <n v="209008.8"/>
  </r>
  <r>
    <n v="10182"/>
    <x v="181"/>
    <x v="2"/>
    <x v="4"/>
    <x v="1"/>
    <x v="2"/>
    <n v="61"/>
    <x v="2"/>
    <n v="3"/>
    <n v="14061"/>
    <x v="2"/>
    <n v="42183"/>
    <n v="8436.6"/>
    <n v="33746.400000000001"/>
  </r>
  <r>
    <n v="10183"/>
    <x v="182"/>
    <x v="1"/>
    <x v="3"/>
    <x v="0"/>
    <x v="4"/>
    <n v="20"/>
    <x v="1"/>
    <n v="1"/>
    <n v="1242"/>
    <x v="1"/>
    <n v="1242"/>
    <n v="186.3"/>
    <n v="1055.7"/>
  </r>
  <r>
    <n v="10184"/>
    <x v="183"/>
    <x v="3"/>
    <x v="0"/>
    <x v="2"/>
    <x v="4"/>
    <n v="26"/>
    <x v="0"/>
    <n v="5"/>
    <n v="1132"/>
    <x v="1"/>
    <n v="5660"/>
    <n v="849"/>
    <n v="4811"/>
  </r>
  <r>
    <n v="10185"/>
    <x v="184"/>
    <x v="3"/>
    <x v="4"/>
    <x v="1"/>
    <x v="3"/>
    <n v="29"/>
    <x v="0"/>
    <n v="4"/>
    <n v="22033"/>
    <x v="0"/>
    <n v="88132"/>
    <n v="0"/>
    <n v="88132"/>
  </r>
  <r>
    <n v="10186"/>
    <x v="185"/>
    <x v="3"/>
    <x v="3"/>
    <x v="2"/>
    <x v="2"/>
    <n v="25"/>
    <x v="0"/>
    <n v="7"/>
    <n v="28256"/>
    <x v="3"/>
    <n v="197792"/>
    <n v="19779.2"/>
    <n v="178012.79999999999"/>
  </r>
  <r>
    <n v="10187"/>
    <x v="186"/>
    <x v="2"/>
    <x v="1"/>
    <x v="0"/>
    <x v="2"/>
    <n v="54"/>
    <x v="3"/>
    <n v="1"/>
    <n v="2908"/>
    <x v="0"/>
    <n v="2908"/>
    <n v="0"/>
    <n v="2908"/>
  </r>
  <r>
    <n v="10188"/>
    <x v="187"/>
    <x v="0"/>
    <x v="0"/>
    <x v="2"/>
    <x v="3"/>
    <n v="47"/>
    <x v="3"/>
    <n v="7"/>
    <n v="33365"/>
    <x v="0"/>
    <n v="233555"/>
    <n v="0"/>
    <n v="233555"/>
  </r>
  <r>
    <n v="10189"/>
    <x v="188"/>
    <x v="3"/>
    <x v="2"/>
    <x v="0"/>
    <x v="0"/>
    <n v="49"/>
    <x v="3"/>
    <n v="4"/>
    <n v="23233"/>
    <x v="0"/>
    <n v="92932"/>
    <n v="0"/>
    <n v="92932"/>
  </r>
  <r>
    <n v="10190"/>
    <x v="189"/>
    <x v="3"/>
    <x v="3"/>
    <x v="3"/>
    <x v="5"/>
    <n v="28"/>
    <x v="0"/>
    <n v="2"/>
    <n v="34217"/>
    <x v="2"/>
    <n v="68434"/>
    <n v="13686.8"/>
    <n v="54747.199999999997"/>
  </r>
  <r>
    <n v="10191"/>
    <x v="190"/>
    <x v="3"/>
    <x v="1"/>
    <x v="1"/>
    <x v="5"/>
    <n v="26"/>
    <x v="0"/>
    <n v="8"/>
    <n v="38392"/>
    <x v="4"/>
    <n v="307136"/>
    <n v="15356.8"/>
    <n v="291779.20000000001"/>
  </r>
  <r>
    <n v="10192"/>
    <x v="191"/>
    <x v="3"/>
    <x v="2"/>
    <x v="1"/>
    <x v="6"/>
    <n v="31"/>
    <x v="0"/>
    <n v="7"/>
    <n v="49494"/>
    <x v="2"/>
    <n v="346458"/>
    <n v="69291.600000000006"/>
    <n v="277166.40000000002"/>
  </r>
  <r>
    <n v="10193"/>
    <x v="192"/>
    <x v="1"/>
    <x v="1"/>
    <x v="2"/>
    <x v="1"/>
    <n v="53"/>
    <x v="3"/>
    <n v="5"/>
    <n v="43071"/>
    <x v="2"/>
    <n v="215355"/>
    <n v="43071"/>
    <n v="172284"/>
  </r>
  <r>
    <n v="10194"/>
    <x v="193"/>
    <x v="1"/>
    <x v="3"/>
    <x v="0"/>
    <x v="5"/>
    <n v="45"/>
    <x v="3"/>
    <n v="7"/>
    <n v="22901"/>
    <x v="4"/>
    <n v="160307"/>
    <n v="8015.35"/>
    <n v="152291.65"/>
  </r>
  <r>
    <n v="10195"/>
    <x v="194"/>
    <x v="2"/>
    <x v="2"/>
    <x v="2"/>
    <x v="1"/>
    <n v="23"/>
    <x v="1"/>
    <n v="8"/>
    <n v="42531"/>
    <x v="3"/>
    <n v="340248"/>
    <n v="34024.800000000003"/>
    <n v="306223.2"/>
  </r>
  <r>
    <n v="10196"/>
    <x v="195"/>
    <x v="3"/>
    <x v="1"/>
    <x v="3"/>
    <x v="2"/>
    <n v="54"/>
    <x v="3"/>
    <n v="4"/>
    <n v="40032"/>
    <x v="1"/>
    <n v="160128"/>
    <n v="24019.200000000001"/>
    <n v="136108.79999999999"/>
  </r>
  <r>
    <n v="10197"/>
    <x v="196"/>
    <x v="1"/>
    <x v="4"/>
    <x v="3"/>
    <x v="7"/>
    <n v="36"/>
    <x v="4"/>
    <n v="9"/>
    <n v="21963"/>
    <x v="4"/>
    <n v="197667"/>
    <n v="9883.35"/>
    <n v="187783.65"/>
  </r>
  <r>
    <n v="10198"/>
    <x v="197"/>
    <x v="0"/>
    <x v="4"/>
    <x v="2"/>
    <x v="6"/>
    <n v="21"/>
    <x v="1"/>
    <n v="7"/>
    <n v="16929"/>
    <x v="3"/>
    <n v="118503"/>
    <n v="11850.3"/>
    <n v="106652.7"/>
  </r>
  <r>
    <n v="10199"/>
    <x v="198"/>
    <x v="0"/>
    <x v="2"/>
    <x v="1"/>
    <x v="6"/>
    <n v="24"/>
    <x v="1"/>
    <n v="8"/>
    <n v="5532"/>
    <x v="0"/>
    <n v="44256"/>
    <n v="0"/>
    <n v="44256"/>
  </r>
  <r>
    <n v="10200"/>
    <x v="199"/>
    <x v="3"/>
    <x v="3"/>
    <x v="2"/>
    <x v="1"/>
    <n v="56"/>
    <x v="2"/>
    <n v="3"/>
    <n v="8914"/>
    <x v="2"/>
    <n v="26742"/>
    <n v="5348.4"/>
    <n v="21393.599999999999"/>
  </r>
  <r>
    <n v="10201"/>
    <x v="200"/>
    <x v="2"/>
    <x v="2"/>
    <x v="0"/>
    <x v="5"/>
    <n v="36"/>
    <x v="4"/>
    <n v="8"/>
    <n v="30673"/>
    <x v="2"/>
    <n v="245384"/>
    <n v="49076.800000000003"/>
    <n v="196307.20000000001"/>
  </r>
  <r>
    <n v="10202"/>
    <x v="201"/>
    <x v="3"/>
    <x v="2"/>
    <x v="3"/>
    <x v="1"/>
    <n v="25"/>
    <x v="0"/>
    <n v="7"/>
    <n v="13077"/>
    <x v="3"/>
    <n v="91539"/>
    <n v="9153.9"/>
    <n v="82385.100000000006"/>
  </r>
  <r>
    <n v="10203"/>
    <x v="202"/>
    <x v="2"/>
    <x v="2"/>
    <x v="2"/>
    <x v="4"/>
    <n v="33"/>
    <x v="0"/>
    <n v="8"/>
    <n v="41487"/>
    <x v="1"/>
    <n v="331896"/>
    <n v="49784.4"/>
    <n v="282111.59999999998"/>
  </r>
  <r>
    <n v="10204"/>
    <x v="203"/>
    <x v="3"/>
    <x v="3"/>
    <x v="1"/>
    <x v="7"/>
    <n v="62"/>
    <x v="2"/>
    <n v="4"/>
    <n v="4067"/>
    <x v="1"/>
    <n v="16268"/>
    <n v="2440.1999999999998"/>
    <n v="13827.8"/>
  </r>
  <r>
    <n v="10205"/>
    <x v="204"/>
    <x v="0"/>
    <x v="0"/>
    <x v="2"/>
    <x v="3"/>
    <n v="64"/>
    <x v="2"/>
    <n v="7"/>
    <n v="31929"/>
    <x v="1"/>
    <n v="223503"/>
    <n v="33525.449999999997"/>
    <n v="189977.55"/>
  </r>
  <r>
    <n v="10206"/>
    <x v="205"/>
    <x v="0"/>
    <x v="1"/>
    <x v="0"/>
    <x v="2"/>
    <n v="51"/>
    <x v="3"/>
    <n v="6"/>
    <n v="10063"/>
    <x v="4"/>
    <n v="60378"/>
    <n v="3018.9"/>
    <n v="57359.1"/>
  </r>
  <r>
    <n v="10207"/>
    <x v="206"/>
    <x v="0"/>
    <x v="1"/>
    <x v="1"/>
    <x v="7"/>
    <n v="28"/>
    <x v="0"/>
    <n v="9"/>
    <n v="41758"/>
    <x v="2"/>
    <n v="375822"/>
    <n v="75164.399999999994"/>
    <n v="300657.59999999998"/>
  </r>
  <r>
    <n v="10208"/>
    <x v="207"/>
    <x v="3"/>
    <x v="4"/>
    <x v="2"/>
    <x v="3"/>
    <n v="21"/>
    <x v="1"/>
    <n v="7"/>
    <n v="41797"/>
    <x v="2"/>
    <n v="292579"/>
    <n v="58515.8"/>
    <n v="234063.2"/>
  </r>
  <r>
    <n v="10209"/>
    <x v="208"/>
    <x v="0"/>
    <x v="4"/>
    <x v="2"/>
    <x v="3"/>
    <n v="42"/>
    <x v="4"/>
    <n v="8"/>
    <n v="46329"/>
    <x v="3"/>
    <n v="370632"/>
    <n v="37063.199999999997"/>
    <n v="333568.8"/>
  </r>
  <r>
    <n v="10210"/>
    <x v="209"/>
    <x v="0"/>
    <x v="3"/>
    <x v="1"/>
    <x v="2"/>
    <n v="61"/>
    <x v="2"/>
    <n v="7"/>
    <n v="16126"/>
    <x v="1"/>
    <n v="112882"/>
    <n v="16932.3"/>
    <n v="95949.7"/>
  </r>
  <r>
    <n v="10211"/>
    <x v="210"/>
    <x v="2"/>
    <x v="0"/>
    <x v="2"/>
    <x v="2"/>
    <n v="43"/>
    <x v="4"/>
    <n v="1"/>
    <n v="14330"/>
    <x v="3"/>
    <n v="14330"/>
    <n v="1433"/>
    <n v="12897"/>
  </r>
  <r>
    <n v="10212"/>
    <x v="211"/>
    <x v="3"/>
    <x v="3"/>
    <x v="3"/>
    <x v="7"/>
    <n v="44"/>
    <x v="4"/>
    <n v="7"/>
    <n v="42686"/>
    <x v="4"/>
    <n v="298802"/>
    <n v="14940.1"/>
    <n v="283861.90000000002"/>
  </r>
  <r>
    <n v="10213"/>
    <x v="212"/>
    <x v="2"/>
    <x v="1"/>
    <x v="0"/>
    <x v="4"/>
    <n v="19"/>
    <x v="1"/>
    <n v="2"/>
    <n v="22423"/>
    <x v="1"/>
    <n v="44846"/>
    <n v="6726.9"/>
    <n v="38119.1"/>
  </r>
  <r>
    <n v="10214"/>
    <x v="213"/>
    <x v="1"/>
    <x v="1"/>
    <x v="2"/>
    <x v="3"/>
    <n v="55"/>
    <x v="2"/>
    <n v="1"/>
    <n v="42270"/>
    <x v="1"/>
    <n v="42270"/>
    <n v="6340.5"/>
    <n v="35929.5"/>
  </r>
  <r>
    <n v="10215"/>
    <x v="214"/>
    <x v="0"/>
    <x v="2"/>
    <x v="2"/>
    <x v="6"/>
    <n v="24"/>
    <x v="1"/>
    <n v="2"/>
    <n v="42949"/>
    <x v="4"/>
    <n v="85898"/>
    <n v="4294.8999999999996"/>
    <n v="81603.100000000006"/>
  </r>
  <r>
    <n v="10216"/>
    <x v="215"/>
    <x v="2"/>
    <x v="3"/>
    <x v="2"/>
    <x v="3"/>
    <n v="36"/>
    <x v="4"/>
    <n v="6"/>
    <n v="46890"/>
    <x v="2"/>
    <n v="281340"/>
    <n v="56268"/>
    <n v="225072"/>
  </r>
  <r>
    <n v="10217"/>
    <x v="216"/>
    <x v="0"/>
    <x v="3"/>
    <x v="2"/>
    <x v="2"/>
    <n v="52"/>
    <x v="3"/>
    <n v="1"/>
    <n v="20199"/>
    <x v="1"/>
    <n v="20199"/>
    <n v="3029.85"/>
    <n v="17169.150000000001"/>
  </r>
  <r>
    <n v="10218"/>
    <x v="217"/>
    <x v="0"/>
    <x v="4"/>
    <x v="1"/>
    <x v="5"/>
    <n v="49"/>
    <x v="3"/>
    <n v="6"/>
    <n v="9347"/>
    <x v="2"/>
    <n v="56082"/>
    <n v="11216.4"/>
    <n v="44865.599999999999"/>
  </r>
  <r>
    <n v="10219"/>
    <x v="218"/>
    <x v="1"/>
    <x v="2"/>
    <x v="0"/>
    <x v="2"/>
    <n v="50"/>
    <x v="3"/>
    <n v="2"/>
    <n v="17774"/>
    <x v="2"/>
    <n v="35548"/>
    <n v="7109.6"/>
    <n v="28438.400000000001"/>
  </r>
  <r>
    <n v="10220"/>
    <x v="219"/>
    <x v="2"/>
    <x v="1"/>
    <x v="3"/>
    <x v="3"/>
    <n v="58"/>
    <x v="2"/>
    <n v="1"/>
    <n v="24335"/>
    <x v="3"/>
    <n v="24335"/>
    <n v="2433.5"/>
    <n v="21901.5"/>
  </r>
  <r>
    <n v="10221"/>
    <x v="220"/>
    <x v="0"/>
    <x v="4"/>
    <x v="3"/>
    <x v="3"/>
    <n v="34"/>
    <x v="0"/>
    <n v="4"/>
    <n v="45178"/>
    <x v="4"/>
    <n v="180712"/>
    <n v="9035.6"/>
    <n v="171676.4"/>
  </r>
  <r>
    <n v="10222"/>
    <x v="221"/>
    <x v="1"/>
    <x v="4"/>
    <x v="1"/>
    <x v="5"/>
    <n v="52"/>
    <x v="3"/>
    <n v="5"/>
    <n v="23267"/>
    <x v="1"/>
    <n v="116335"/>
    <n v="17450.25"/>
    <n v="98884.75"/>
  </r>
  <r>
    <n v="10223"/>
    <x v="222"/>
    <x v="0"/>
    <x v="1"/>
    <x v="0"/>
    <x v="1"/>
    <n v="61"/>
    <x v="2"/>
    <n v="3"/>
    <n v="42099"/>
    <x v="2"/>
    <n v="126297"/>
    <n v="25259.4"/>
    <n v="101037.6"/>
  </r>
  <r>
    <n v="10224"/>
    <x v="223"/>
    <x v="0"/>
    <x v="2"/>
    <x v="3"/>
    <x v="1"/>
    <n v="54"/>
    <x v="3"/>
    <n v="7"/>
    <n v="22063"/>
    <x v="2"/>
    <n v="154441"/>
    <n v="30888.2"/>
    <n v="123552.8"/>
  </r>
  <r>
    <n v="10225"/>
    <x v="224"/>
    <x v="3"/>
    <x v="0"/>
    <x v="3"/>
    <x v="4"/>
    <n v="36"/>
    <x v="4"/>
    <n v="7"/>
    <n v="3153"/>
    <x v="0"/>
    <n v="22071"/>
    <n v="0"/>
    <n v="22071"/>
  </r>
  <r>
    <n v="10226"/>
    <x v="225"/>
    <x v="0"/>
    <x v="3"/>
    <x v="0"/>
    <x v="6"/>
    <n v="26"/>
    <x v="0"/>
    <n v="7"/>
    <n v="26462"/>
    <x v="2"/>
    <n v="185234"/>
    <n v="37046.800000000003"/>
    <n v="148187.20000000001"/>
  </r>
  <r>
    <n v="10227"/>
    <x v="226"/>
    <x v="2"/>
    <x v="0"/>
    <x v="2"/>
    <x v="7"/>
    <n v="20"/>
    <x v="1"/>
    <n v="6"/>
    <n v="14247"/>
    <x v="0"/>
    <n v="85482"/>
    <n v="0"/>
    <n v="85482"/>
  </r>
  <r>
    <n v="10228"/>
    <x v="227"/>
    <x v="2"/>
    <x v="4"/>
    <x v="0"/>
    <x v="2"/>
    <n v="37"/>
    <x v="4"/>
    <n v="3"/>
    <n v="35195"/>
    <x v="4"/>
    <n v="105585"/>
    <n v="5279.25"/>
    <n v="100305.75"/>
  </r>
  <r>
    <n v="10229"/>
    <x v="228"/>
    <x v="1"/>
    <x v="3"/>
    <x v="1"/>
    <x v="2"/>
    <n v="48"/>
    <x v="3"/>
    <n v="4"/>
    <n v="40606"/>
    <x v="3"/>
    <n v="162424"/>
    <n v="16242.4"/>
    <n v="146181.6"/>
  </r>
  <r>
    <n v="10230"/>
    <x v="229"/>
    <x v="3"/>
    <x v="4"/>
    <x v="2"/>
    <x v="5"/>
    <n v="29"/>
    <x v="0"/>
    <n v="7"/>
    <n v="43174"/>
    <x v="3"/>
    <n v="302218"/>
    <n v="30221.8"/>
    <n v="271996.2"/>
  </r>
  <r>
    <n v="10231"/>
    <x v="230"/>
    <x v="0"/>
    <x v="2"/>
    <x v="3"/>
    <x v="4"/>
    <n v="43"/>
    <x v="4"/>
    <n v="7"/>
    <n v="37619"/>
    <x v="0"/>
    <n v="263333"/>
    <n v="0"/>
    <n v="263333"/>
  </r>
  <r>
    <n v="10232"/>
    <x v="231"/>
    <x v="2"/>
    <x v="4"/>
    <x v="1"/>
    <x v="6"/>
    <n v="53"/>
    <x v="3"/>
    <n v="3"/>
    <n v="254"/>
    <x v="2"/>
    <n v="762"/>
    <n v="152.4"/>
    <n v="609.6"/>
  </r>
  <r>
    <n v="10233"/>
    <x v="232"/>
    <x v="1"/>
    <x v="3"/>
    <x v="3"/>
    <x v="1"/>
    <n v="33"/>
    <x v="0"/>
    <n v="9"/>
    <n v="35547"/>
    <x v="1"/>
    <n v="319923"/>
    <n v="47988.45"/>
    <n v="271934.55"/>
  </r>
  <r>
    <n v="10234"/>
    <x v="233"/>
    <x v="1"/>
    <x v="4"/>
    <x v="1"/>
    <x v="0"/>
    <n v="58"/>
    <x v="2"/>
    <n v="8"/>
    <n v="46844"/>
    <x v="4"/>
    <n v="374752"/>
    <n v="18737.599999999999"/>
    <n v="356014.4"/>
  </r>
  <r>
    <n v="10235"/>
    <x v="234"/>
    <x v="2"/>
    <x v="0"/>
    <x v="1"/>
    <x v="3"/>
    <n v="30"/>
    <x v="0"/>
    <n v="4"/>
    <n v="47870"/>
    <x v="2"/>
    <n v="191480"/>
    <n v="38296"/>
    <n v="153184"/>
  </r>
  <r>
    <n v="10236"/>
    <x v="235"/>
    <x v="1"/>
    <x v="0"/>
    <x v="0"/>
    <x v="7"/>
    <n v="30"/>
    <x v="0"/>
    <n v="6"/>
    <n v="4880"/>
    <x v="3"/>
    <n v="29280"/>
    <n v="2928"/>
    <n v="26352"/>
  </r>
  <r>
    <n v="10237"/>
    <x v="236"/>
    <x v="0"/>
    <x v="1"/>
    <x v="3"/>
    <x v="1"/>
    <n v="28"/>
    <x v="0"/>
    <n v="3"/>
    <n v="45393"/>
    <x v="0"/>
    <n v="136179"/>
    <n v="0"/>
    <n v="136179"/>
  </r>
  <r>
    <n v="10238"/>
    <x v="237"/>
    <x v="3"/>
    <x v="0"/>
    <x v="2"/>
    <x v="2"/>
    <n v="24"/>
    <x v="1"/>
    <n v="2"/>
    <n v="19419"/>
    <x v="4"/>
    <n v="38838"/>
    <n v="1941.9"/>
    <n v="36896.1"/>
  </r>
  <r>
    <n v="10239"/>
    <x v="238"/>
    <x v="1"/>
    <x v="3"/>
    <x v="2"/>
    <x v="0"/>
    <n v="32"/>
    <x v="0"/>
    <n v="5"/>
    <n v="2113"/>
    <x v="1"/>
    <n v="10565"/>
    <n v="1584.75"/>
    <n v="8980.25"/>
  </r>
  <r>
    <n v="10240"/>
    <x v="239"/>
    <x v="0"/>
    <x v="3"/>
    <x v="2"/>
    <x v="7"/>
    <n v="49"/>
    <x v="3"/>
    <n v="3"/>
    <n v="23220"/>
    <x v="4"/>
    <n v="69660"/>
    <n v="3483"/>
    <n v="66177"/>
  </r>
  <r>
    <n v="10241"/>
    <x v="240"/>
    <x v="0"/>
    <x v="0"/>
    <x v="0"/>
    <x v="3"/>
    <n v="51"/>
    <x v="3"/>
    <n v="7"/>
    <n v="17497"/>
    <x v="3"/>
    <n v="122479"/>
    <n v="12247.9"/>
    <n v="110231.1"/>
  </r>
  <r>
    <n v="10242"/>
    <x v="241"/>
    <x v="2"/>
    <x v="4"/>
    <x v="0"/>
    <x v="0"/>
    <n v="61"/>
    <x v="2"/>
    <n v="2"/>
    <n v="11957"/>
    <x v="4"/>
    <n v="23914"/>
    <n v="1195.7"/>
    <n v="22718.3"/>
  </r>
  <r>
    <n v="10243"/>
    <x v="242"/>
    <x v="0"/>
    <x v="3"/>
    <x v="2"/>
    <x v="3"/>
    <n v="27"/>
    <x v="0"/>
    <n v="2"/>
    <n v="24615"/>
    <x v="0"/>
    <n v="49230"/>
    <n v="0"/>
    <n v="49230"/>
  </r>
  <r>
    <n v="10244"/>
    <x v="243"/>
    <x v="2"/>
    <x v="4"/>
    <x v="1"/>
    <x v="3"/>
    <n v="56"/>
    <x v="2"/>
    <n v="9"/>
    <n v="26013"/>
    <x v="4"/>
    <n v="234117"/>
    <n v="11705.85"/>
    <n v="222411.15"/>
  </r>
  <r>
    <n v="10245"/>
    <x v="244"/>
    <x v="0"/>
    <x v="1"/>
    <x v="0"/>
    <x v="1"/>
    <n v="40"/>
    <x v="4"/>
    <n v="6"/>
    <n v="17829"/>
    <x v="1"/>
    <n v="106974"/>
    <n v="16046.1"/>
    <n v="90927.9"/>
  </r>
  <r>
    <n v="10246"/>
    <x v="245"/>
    <x v="2"/>
    <x v="2"/>
    <x v="2"/>
    <x v="6"/>
    <n v="64"/>
    <x v="2"/>
    <n v="3"/>
    <n v="33508"/>
    <x v="4"/>
    <n v="100524"/>
    <n v="5026.2"/>
    <n v="95497.8"/>
  </r>
  <r>
    <n v="10247"/>
    <x v="246"/>
    <x v="0"/>
    <x v="4"/>
    <x v="1"/>
    <x v="5"/>
    <n v="55"/>
    <x v="2"/>
    <n v="5"/>
    <n v="25688"/>
    <x v="3"/>
    <n v="128440"/>
    <n v="12844"/>
    <n v="115596"/>
  </r>
  <r>
    <n v="10248"/>
    <x v="247"/>
    <x v="1"/>
    <x v="3"/>
    <x v="2"/>
    <x v="1"/>
    <n v="54"/>
    <x v="3"/>
    <n v="5"/>
    <n v="41455"/>
    <x v="1"/>
    <n v="207275"/>
    <n v="31091.25"/>
    <n v="176183.75"/>
  </r>
  <r>
    <n v="10249"/>
    <x v="248"/>
    <x v="0"/>
    <x v="1"/>
    <x v="3"/>
    <x v="3"/>
    <n v="28"/>
    <x v="0"/>
    <n v="7"/>
    <n v="27210"/>
    <x v="1"/>
    <n v="190470"/>
    <n v="28570.5"/>
    <n v="161899.5"/>
  </r>
  <r>
    <n v="10250"/>
    <x v="249"/>
    <x v="0"/>
    <x v="2"/>
    <x v="1"/>
    <x v="0"/>
    <n v="57"/>
    <x v="2"/>
    <n v="5"/>
    <n v="9315"/>
    <x v="1"/>
    <n v="46575"/>
    <n v="6986.25"/>
    <n v="39588.75"/>
  </r>
  <r>
    <n v="10251"/>
    <x v="250"/>
    <x v="1"/>
    <x v="3"/>
    <x v="1"/>
    <x v="2"/>
    <n v="31"/>
    <x v="0"/>
    <n v="4"/>
    <n v="2783"/>
    <x v="4"/>
    <n v="11132"/>
    <n v="556.6"/>
    <n v="10575.4"/>
  </r>
  <r>
    <n v="10252"/>
    <x v="251"/>
    <x v="0"/>
    <x v="4"/>
    <x v="0"/>
    <x v="5"/>
    <n v="37"/>
    <x v="4"/>
    <n v="1"/>
    <n v="19830"/>
    <x v="3"/>
    <n v="19830"/>
    <n v="1983"/>
    <n v="17847"/>
  </r>
  <r>
    <n v="10253"/>
    <x v="252"/>
    <x v="2"/>
    <x v="2"/>
    <x v="1"/>
    <x v="7"/>
    <n v="63"/>
    <x v="2"/>
    <n v="3"/>
    <n v="28832"/>
    <x v="2"/>
    <n v="86496"/>
    <n v="17299.2"/>
    <n v="69196.800000000003"/>
  </r>
  <r>
    <n v="10254"/>
    <x v="253"/>
    <x v="3"/>
    <x v="3"/>
    <x v="0"/>
    <x v="6"/>
    <n v="52"/>
    <x v="3"/>
    <n v="7"/>
    <n v="30697"/>
    <x v="1"/>
    <n v="214879"/>
    <n v="32231.85"/>
    <n v="182647.15"/>
  </r>
  <r>
    <n v="10255"/>
    <x v="254"/>
    <x v="0"/>
    <x v="2"/>
    <x v="1"/>
    <x v="0"/>
    <n v="53"/>
    <x v="3"/>
    <n v="7"/>
    <n v="37975"/>
    <x v="1"/>
    <n v="265825"/>
    <n v="39873.75"/>
    <n v="225951.25"/>
  </r>
  <r>
    <n v="10256"/>
    <x v="255"/>
    <x v="1"/>
    <x v="1"/>
    <x v="0"/>
    <x v="7"/>
    <n v="25"/>
    <x v="0"/>
    <n v="6"/>
    <n v="3433"/>
    <x v="4"/>
    <n v="20598"/>
    <n v="1029.9000000000001"/>
    <n v="19568.099999999999"/>
  </r>
  <r>
    <n v="10257"/>
    <x v="256"/>
    <x v="2"/>
    <x v="4"/>
    <x v="3"/>
    <x v="5"/>
    <n v="25"/>
    <x v="0"/>
    <n v="3"/>
    <n v="17323"/>
    <x v="3"/>
    <n v="51969"/>
    <n v="5196.8999999999996"/>
    <n v="46772.1"/>
  </r>
  <r>
    <n v="10258"/>
    <x v="257"/>
    <x v="2"/>
    <x v="0"/>
    <x v="3"/>
    <x v="1"/>
    <n v="19"/>
    <x v="1"/>
    <n v="9"/>
    <n v="856"/>
    <x v="2"/>
    <n v="7704"/>
    <n v="1540.8"/>
    <n v="6163.2"/>
  </r>
  <r>
    <n v="10259"/>
    <x v="258"/>
    <x v="3"/>
    <x v="3"/>
    <x v="0"/>
    <x v="7"/>
    <n v="56"/>
    <x v="2"/>
    <n v="3"/>
    <n v="4338"/>
    <x v="0"/>
    <n v="13014"/>
    <n v="0"/>
    <n v="13014"/>
  </r>
  <r>
    <n v="10260"/>
    <x v="259"/>
    <x v="0"/>
    <x v="3"/>
    <x v="3"/>
    <x v="1"/>
    <n v="21"/>
    <x v="1"/>
    <n v="6"/>
    <n v="42621"/>
    <x v="4"/>
    <n v="255726"/>
    <n v="12786.3"/>
    <n v="242939.7"/>
  </r>
  <r>
    <n v="10261"/>
    <x v="260"/>
    <x v="1"/>
    <x v="4"/>
    <x v="1"/>
    <x v="2"/>
    <n v="64"/>
    <x v="2"/>
    <n v="3"/>
    <n v="34252"/>
    <x v="0"/>
    <n v="102756"/>
    <n v="0"/>
    <n v="102756"/>
  </r>
  <r>
    <n v="10262"/>
    <x v="261"/>
    <x v="2"/>
    <x v="1"/>
    <x v="0"/>
    <x v="1"/>
    <n v="24"/>
    <x v="1"/>
    <n v="7"/>
    <n v="25559"/>
    <x v="3"/>
    <n v="178913"/>
    <n v="17891.3"/>
    <n v="161021.70000000001"/>
  </r>
  <r>
    <n v="10263"/>
    <x v="262"/>
    <x v="3"/>
    <x v="4"/>
    <x v="2"/>
    <x v="3"/>
    <n v="21"/>
    <x v="1"/>
    <n v="1"/>
    <n v="40090"/>
    <x v="0"/>
    <n v="40090"/>
    <n v="0"/>
    <n v="40090"/>
  </r>
  <r>
    <n v="10264"/>
    <x v="263"/>
    <x v="3"/>
    <x v="1"/>
    <x v="1"/>
    <x v="5"/>
    <n v="26"/>
    <x v="0"/>
    <n v="5"/>
    <n v="12247"/>
    <x v="4"/>
    <n v="61235"/>
    <n v="3061.75"/>
    <n v="58173.25"/>
  </r>
  <r>
    <n v="10265"/>
    <x v="264"/>
    <x v="3"/>
    <x v="2"/>
    <x v="2"/>
    <x v="6"/>
    <n v="54"/>
    <x v="3"/>
    <n v="6"/>
    <n v="35062"/>
    <x v="3"/>
    <n v="210372"/>
    <n v="21037.200000000001"/>
    <n v="189334.8"/>
  </r>
  <r>
    <n v="10266"/>
    <x v="265"/>
    <x v="2"/>
    <x v="3"/>
    <x v="3"/>
    <x v="7"/>
    <n v="38"/>
    <x v="4"/>
    <n v="9"/>
    <n v="49464"/>
    <x v="2"/>
    <n v="445176"/>
    <n v="89035.199999999997"/>
    <n v="356140.79999999999"/>
  </r>
  <r>
    <n v="10267"/>
    <x v="266"/>
    <x v="0"/>
    <x v="3"/>
    <x v="3"/>
    <x v="1"/>
    <n v="60"/>
    <x v="2"/>
    <n v="9"/>
    <n v="2397"/>
    <x v="1"/>
    <n v="21573"/>
    <n v="3235.95"/>
    <n v="18337.05"/>
  </r>
  <r>
    <n v="10268"/>
    <x v="267"/>
    <x v="1"/>
    <x v="1"/>
    <x v="3"/>
    <x v="5"/>
    <n v="35"/>
    <x v="4"/>
    <n v="7"/>
    <n v="9488"/>
    <x v="4"/>
    <n v="66416"/>
    <n v="3320.8"/>
    <n v="63095.199999999997"/>
  </r>
  <r>
    <n v="10269"/>
    <x v="268"/>
    <x v="1"/>
    <x v="4"/>
    <x v="0"/>
    <x v="1"/>
    <n v="32"/>
    <x v="0"/>
    <n v="5"/>
    <n v="37790"/>
    <x v="2"/>
    <n v="188950"/>
    <n v="37790"/>
    <n v="151160"/>
  </r>
  <r>
    <n v="10270"/>
    <x v="269"/>
    <x v="1"/>
    <x v="0"/>
    <x v="2"/>
    <x v="2"/>
    <n v="33"/>
    <x v="0"/>
    <n v="9"/>
    <n v="48042"/>
    <x v="4"/>
    <n v="432378"/>
    <n v="21618.9"/>
    <n v="410759.1"/>
  </r>
  <r>
    <n v="10271"/>
    <x v="270"/>
    <x v="0"/>
    <x v="3"/>
    <x v="0"/>
    <x v="4"/>
    <n v="53"/>
    <x v="3"/>
    <n v="4"/>
    <n v="13635"/>
    <x v="2"/>
    <n v="54540"/>
    <n v="10908"/>
    <n v="43632"/>
  </r>
  <r>
    <n v="10272"/>
    <x v="271"/>
    <x v="0"/>
    <x v="3"/>
    <x v="0"/>
    <x v="4"/>
    <n v="61"/>
    <x v="2"/>
    <n v="6"/>
    <n v="16750"/>
    <x v="0"/>
    <n v="100500"/>
    <n v="0"/>
    <n v="100500"/>
  </r>
  <r>
    <n v="10273"/>
    <x v="272"/>
    <x v="0"/>
    <x v="4"/>
    <x v="1"/>
    <x v="6"/>
    <n v="61"/>
    <x v="2"/>
    <n v="2"/>
    <n v="28306"/>
    <x v="0"/>
    <n v="56612"/>
    <n v="0"/>
    <n v="56612"/>
  </r>
  <r>
    <n v="10274"/>
    <x v="273"/>
    <x v="3"/>
    <x v="4"/>
    <x v="3"/>
    <x v="0"/>
    <n v="39"/>
    <x v="4"/>
    <n v="8"/>
    <n v="45228"/>
    <x v="4"/>
    <n v="361824"/>
    <n v="18091.2"/>
    <n v="343732.8"/>
  </r>
  <r>
    <n v="10275"/>
    <x v="274"/>
    <x v="2"/>
    <x v="1"/>
    <x v="1"/>
    <x v="3"/>
    <n v="61"/>
    <x v="2"/>
    <n v="3"/>
    <n v="15364"/>
    <x v="2"/>
    <n v="46092"/>
    <n v="9218.4"/>
    <n v="36873.599999999999"/>
  </r>
  <r>
    <n v="10276"/>
    <x v="275"/>
    <x v="1"/>
    <x v="3"/>
    <x v="3"/>
    <x v="2"/>
    <n v="21"/>
    <x v="1"/>
    <n v="8"/>
    <n v="48512"/>
    <x v="3"/>
    <n v="388096"/>
    <n v="38809.599999999999"/>
    <n v="349286.40000000002"/>
  </r>
  <r>
    <n v="10277"/>
    <x v="276"/>
    <x v="2"/>
    <x v="3"/>
    <x v="2"/>
    <x v="0"/>
    <n v="64"/>
    <x v="2"/>
    <n v="7"/>
    <n v="19631"/>
    <x v="3"/>
    <n v="137417"/>
    <n v="13741.7"/>
    <n v="123675.3"/>
  </r>
  <r>
    <n v="10278"/>
    <x v="277"/>
    <x v="3"/>
    <x v="1"/>
    <x v="3"/>
    <x v="3"/>
    <n v="64"/>
    <x v="2"/>
    <n v="1"/>
    <n v="29415"/>
    <x v="0"/>
    <n v="29415"/>
    <n v="0"/>
    <n v="29415"/>
  </r>
  <r>
    <n v="10279"/>
    <x v="278"/>
    <x v="2"/>
    <x v="3"/>
    <x v="3"/>
    <x v="2"/>
    <n v="20"/>
    <x v="1"/>
    <n v="5"/>
    <n v="5400"/>
    <x v="0"/>
    <n v="27000"/>
    <n v="0"/>
    <n v="27000"/>
  </r>
  <r>
    <n v="10280"/>
    <x v="279"/>
    <x v="0"/>
    <x v="1"/>
    <x v="0"/>
    <x v="2"/>
    <n v="18"/>
    <x v="1"/>
    <n v="3"/>
    <n v="21637"/>
    <x v="4"/>
    <n v="64911"/>
    <n v="3245.55"/>
    <n v="61665.45"/>
  </r>
  <r>
    <n v="10281"/>
    <x v="280"/>
    <x v="2"/>
    <x v="3"/>
    <x v="3"/>
    <x v="0"/>
    <n v="35"/>
    <x v="4"/>
    <n v="2"/>
    <n v="24757"/>
    <x v="3"/>
    <n v="49514"/>
    <n v="4951.3999999999996"/>
    <n v="44562.6"/>
  </r>
  <r>
    <n v="10282"/>
    <x v="281"/>
    <x v="1"/>
    <x v="0"/>
    <x v="3"/>
    <x v="1"/>
    <n v="36"/>
    <x v="4"/>
    <n v="2"/>
    <n v="2331"/>
    <x v="1"/>
    <n v="4662"/>
    <n v="699.3"/>
    <n v="3962.7"/>
  </r>
  <r>
    <n v="10283"/>
    <x v="282"/>
    <x v="3"/>
    <x v="0"/>
    <x v="3"/>
    <x v="7"/>
    <n v="63"/>
    <x v="2"/>
    <n v="4"/>
    <n v="41696"/>
    <x v="2"/>
    <n v="166784"/>
    <n v="33356.800000000003"/>
    <n v="133427.20000000001"/>
  </r>
  <r>
    <n v="10284"/>
    <x v="283"/>
    <x v="1"/>
    <x v="3"/>
    <x v="3"/>
    <x v="7"/>
    <n v="19"/>
    <x v="1"/>
    <n v="2"/>
    <n v="40126"/>
    <x v="2"/>
    <n v="80252"/>
    <n v="16050.4"/>
    <n v="64201.599999999999"/>
  </r>
  <r>
    <n v="10285"/>
    <x v="284"/>
    <x v="2"/>
    <x v="1"/>
    <x v="2"/>
    <x v="7"/>
    <n v="45"/>
    <x v="3"/>
    <n v="6"/>
    <n v="18249"/>
    <x v="1"/>
    <n v="109494"/>
    <n v="16424.099999999999"/>
    <n v="93069.9"/>
  </r>
  <r>
    <n v="10286"/>
    <x v="285"/>
    <x v="3"/>
    <x v="4"/>
    <x v="2"/>
    <x v="5"/>
    <n v="50"/>
    <x v="3"/>
    <n v="3"/>
    <n v="35037"/>
    <x v="0"/>
    <n v="105111"/>
    <n v="0"/>
    <n v="105111"/>
  </r>
  <r>
    <n v="10287"/>
    <x v="286"/>
    <x v="3"/>
    <x v="0"/>
    <x v="1"/>
    <x v="0"/>
    <n v="37"/>
    <x v="4"/>
    <n v="3"/>
    <n v="49867"/>
    <x v="4"/>
    <n v="149601"/>
    <n v="7480.05"/>
    <n v="142120.95000000001"/>
  </r>
  <r>
    <n v="10288"/>
    <x v="287"/>
    <x v="2"/>
    <x v="1"/>
    <x v="3"/>
    <x v="3"/>
    <n v="38"/>
    <x v="4"/>
    <n v="9"/>
    <n v="19024"/>
    <x v="2"/>
    <n v="171216"/>
    <n v="34243.199999999997"/>
    <n v="136972.79999999999"/>
  </r>
  <r>
    <n v="10289"/>
    <x v="288"/>
    <x v="0"/>
    <x v="4"/>
    <x v="0"/>
    <x v="2"/>
    <n v="50"/>
    <x v="3"/>
    <n v="9"/>
    <n v="9335"/>
    <x v="1"/>
    <n v="84015"/>
    <n v="12602.25"/>
    <n v="71412.75"/>
  </r>
  <r>
    <n v="10290"/>
    <x v="289"/>
    <x v="1"/>
    <x v="1"/>
    <x v="2"/>
    <x v="3"/>
    <n v="61"/>
    <x v="2"/>
    <n v="8"/>
    <n v="6179"/>
    <x v="2"/>
    <n v="49432"/>
    <n v="9886.4"/>
    <n v="39545.599999999999"/>
  </r>
  <r>
    <n v="10291"/>
    <x v="290"/>
    <x v="2"/>
    <x v="1"/>
    <x v="1"/>
    <x v="0"/>
    <n v="38"/>
    <x v="4"/>
    <n v="8"/>
    <n v="46703"/>
    <x v="2"/>
    <n v="373624"/>
    <n v="74724.800000000003"/>
    <n v="298899.20000000001"/>
  </r>
  <r>
    <n v="10292"/>
    <x v="291"/>
    <x v="2"/>
    <x v="2"/>
    <x v="2"/>
    <x v="1"/>
    <n v="29"/>
    <x v="0"/>
    <n v="3"/>
    <n v="46303"/>
    <x v="0"/>
    <n v="138909"/>
    <n v="0"/>
    <n v="138909"/>
  </r>
  <r>
    <n v="10293"/>
    <x v="292"/>
    <x v="2"/>
    <x v="0"/>
    <x v="0"/>
    <x v="5"/>
    <n v="52"/>
    <x v="3"/>
    <n v="7"/>
    <n v="30055"/>
    <x v="2"/>
    <n v="210385"/>
    <n v="42077"/>
    <n v="168308"/>
  </r>
  <r>
    <n v="10294"/>
    <x v="293"/>
    <x v="0"/>
    <x v="4"/>
    <x v="3"/>
    <x v="0"/>
    <n v="44"/>
    <x v="4"/>
    <n v="6"/>
    <n v="21259"/>
    <x v="2"/>
    <n v="127554"/>
    <n v="25510.799999999999"/>
    <n v="102043.2"/>
  </r>
  <r>
    <n v="10295"/>
    <x v="294"/>
    <x v="3"/>
    <x v="4"/>
    <x v="0"/>
    <x v="5"/>
    <n v="54"/>
    <x v="3"/>
    <n v="6"/>
    <n v="40578"/>
    <x v="0"/>
    <n v="243468"/>
    <n v="0"/>
    <n v="243468"/>
  </r>
  <r>
    <n v="10296"/>
    <x v="295"/>
    <x v="1"/>
    <x v="3"/>
    <x v="0"/>
    <x v="1"/>
    <n v="64"/>
    <x v="2"/>
    <n v="7"/>
    <n v="1658"/>
    <x v="3"/>
    <n v="11606"/>
    <n v="1160.5999999999999"/>
    <n v="10445.4"/>
  </r>
  <r>
    <n v="10297"/>
    <x v="296"/>
    <x v="0"/>
    <x v="4"/>
    <x v="2"/>
    <x v="5"/>
    <n v="55"/>
    <x v="2"/>
    <n v="1"/>
    <n v="14550"/>
    <x v="1"/>
    <n v="14550"/>
    <n v="2182.5"/>
    <n v="12367.5"/>
  </r>
  <r>
    <n v="10298"/>
    <x v="297"/>
    <x v="2"/>
    <x v="0"/>
    <x v="1"/>
    <x v="0"/>
    <n v="42"/>
    <x v="4"/>
    <n v="6"/>
    <n v="34659"/>
    <x v="2"/>
    <n v="207954"/>
    <n v="41590.800000000003"/>
    <n v="166363.20000000001"/>
  </r>
  <r>
    <n v="10299"/>
    <x v="298"/>
    <x v="2"/>
    <x v="2"/>
    <x v="1"/>
    <x v="1"/>
    <n v="58"/>
    <x v="2"/>
    <n v="8"/>
    <n v="33868"/>
    <x v="1"/>
    <n v="270944"/>
    <n v="40641.599999999999"/>
    <n v="230302.4"/>
  </r>
  <r>
    <n v="10300"/>
    <x v="299"/>
    <x v="1"/>
    <x v="1"/>
    <x v="3"/>
    <x v="5"/>
    <n v="24"/>
    <x v="1"/>
    <n v="2"/>
    <n v="49746"/>
    <x v="4"/>
    <n v="99492"/>
    <n v="4974.6000000000004"/>
    <n v="94517.4"/>
  </r>
  <r>
    <n v="10301"/>
    <x v="300"/>
    <x v="2"/>
    <x v="1"/>
    <x v="2"/>
    <x v="7"/>
    <n v="62"/>
    <x v="2"/>
    <n v="8"/>
    <n v="40868"/>
    <x v="0"/>
    <n v="326944"/>
    <n v="0"/>
    <n v="326944"/>
  </r>
  <r>
    <n v="10302"/>
    <x v="301"/>
    <x v="0"/>
    <x v="0"/>
    <x v="2"/>
    <x v="3"/>
    <n v="48"/>
    <x v="3"/>
    <n v="8"/>
    <n v="5148"/>
    <x v="2"/>
    <n v="41184"/>
    <n v="8236.7999999999993"/>
    <n v="32947.199999999997"/>
  </r>
  <r>
    <n v="10303"/>
    <x v="302"/>
    <x v="3"/>
    <x v="4"/>
    <x v="3"/>
    <x v="7"/>
    <n v="51"/>
    <x v="3"/>
    <n v="5"/>
    <n v="35243"/>
    <x v="0"/>
    <n v="176215"/>
    <n v="0"/>
    <n v="176215"/>
  </r>
  <r>
    <n v="10304"/>
    <x v="303"/>
    <x v="2"/>
    <x v="2"/>
    <x v="0"/>
    <x v="0"/>
    <n v="19"/>
    <x v="1"/>
    <n v="7"/>
    <n v="17543"/>
    <x v="0"/>
    <n v="122801"/>
    <n v="0"/>
    <n v="122801"/>
  </r>
  <r>
    <n v="10305"/>
    <x v="304"/>
    <x v="2"/>
    <x v="1"/>
    <x v="0"/>
    <x v="2"/>
    <n v="39"/>
    <x v="4"/>
    <n v="8"/>
    <n v="30232"/>
    <x v="3"/>
    <n v="241856"/>
    <n v="24185.599999999999"/>
    <n v="217670.39999999999"/>
  </r>
  <r>
    <n v="10306"/>
    <x v="305"/>
    <x v="1"/>
    <x v="1"/>
    <x v="2"/>
    <x v="1"/>
    <n v="43"/>
    <x v="4"/>
    <n v="7"/>
    <n v="46945"/>
    <x v="2"/>
    <n v="328615"/>
    <n v="65723"/>
    <n v="262892"/>
  </r>
  <r>
    <n v="10307"/>
    <x v="306"/>
    <x v="3"/>
    <x v="2"/>
    <x v="1"/>
    <x v="3"/>
    <n v="64"/>
    <x v="2"/>
    <n v="2"/>
    <n v="29458"/>
    <x v="1"/>
    <n v="58916"/>
    <n v="8837.4"/>
    <n v="50078.6"/>
  </r>
  <r>
    <n v="10308"/>
    <x v="307"/>
    <x v="1"/>
    <x v="2"/>
    <x v="2"/>
    <x v="0"/>
    <n v="18"/>
    <x v="1"/>
    <n v="8"/>
    <n v="36691"/>
    <x v="3"/>
    <n v="293528"/>
    <n v="29352.799999999999"/>
    <n v="264175.2"/>
  </r>
  <r>
    <n v="10309"/>
    <x v="308"/>
    <x v="3"/>
    <x v="4"/>
    <x v="2"/>
    <x v="5"/>
    <n v="64"/>
    <x v="2"/>
    <n v="9"/>
    <n v="6480"/>
    <x v="2"/>
    <n v="58320"/>
    <n v="11664"/>
    <n v="46656"/>
  </r>
  <r>
    <n v="10310"/>
    <x v="309"/>
    <x v="1"/>
    <x v="1"/>
    <x v="0"/>
    <x v="0"/>
    <n v="31"/>
    <x v="0"/>
    <n v="4"/>
    <n v="42988"/>
    <x v="2"/>
    <n v="171952"/>
    <n v="34390.400000000001"/>
    <n v="137561.60000000001"/>
  </r>
  <r>
    <n v="10311"/>
    <x v="310"/>
    <x v="1"/>
    <x v="4"/>
    <x v="2"/>
    <x v="1"/>
    <n v="58"/>
    <x v="2"/>
    <n v="3"/>
    <n v="4148"/>
    <x v="0"/>
    <n v="12444"/>
    <n v="0"/>
    <n v="12444"/>
  </r>
  <r>
    <n v="10312"/>
    <x v="311"/>
    <x v="1"/>
    <x v="4"/>
    <x v="3"/>
    <x v="3"/>
    <n v="21"/>
    <x v="1"/>
    <n v="2"/>
    <n v="42144"/>
    <x v="0"/>
    <n v="84288"/>
    <n v="0"/>
    <n v="84288"/>
  </r>
  <r>
    <n v="10313"/>
    <x v="312"/>
    <x v="3"/>
    <x v="1"/>
    <x v="1"/>
    <x v="0"/>
    <n v="33"/>
    <x v="0"/>
    <n v="1"/>
    <n v="2791"/>
    <x v="1"/>
    <n v="2791"/>
    <n v="418.65"/>
    <n v="2372.35"/>
  </r>
  <r>
    <n v="10314"/>
    <x v="313"/>
    <x v="1"/>
    <x v="1"/>
    <x v="0"/>
    <x v="0"/>
    <n v="24"/>
    <x v="1"/>
    <n v="3"/>
    <n v="20218"/>
    <x v="1"/>
    <n v="60654"/>
    <n v="9098.1"/>
    <n v="51555.9"/>
  </r>
  <r>
    <n v="10315"/>
    <x v="314"/>
    <x v="3"/>
    <x v="0"/>
    <x v="0"/>
    <x v="4"/>
    <n v="21"/>
    <x v="1"/>
    <n v="4"/>
    <n v="8131"/>
    <x v="1"/>
    <n v="32524"/>
    <n v="4878.6000000000004"/>
    <n v="27645.4"/>
  </r>
  <r>
    <n v="10316"/>
    <x v="315"/>
    <x v="1"/>
    <x v="3"/>
    <x v="0"/>
    <x v="0"/>
    <n v="60"/>
    <x v="2"/>
    <n v="8"/>
    <n v="47003"/>
    <x v="1"/>
    <n v="376024"/>
    <n v="56403.6"/>
    <n v="319620.40000000002"/>
  </r>
  <r>
    <n v="10317"/>
    <x v="316"/>
    <x v="1"/>
    <x v="4"/>
    <x v="0"/>
    <x v="3"/>
    <n v="19"/>
    <x v="1"/>
    <n v="1"/>
    <n v="48750"/>
    <x v="3"/>
    <n v="48750"/>
    <n v="4875"/>
    <n v="43875"/>
  </r>
  <r>
    <n v="10318"/>
    <x v="317"/>
    <x v="0"/>
    <x v="1"/>
    <x v="1"/>
    <x v="4"/>
    <n v="35"/>
    <x v="4"/>
    <n v="5"/>
    <n v="434"/>
    <x v="2"/>
    <n v="2170"/>
    <n v="434"/>
    <n v="1736"/>
  </r>
  <r>
    <n v="10319"/>
    <x v="318"/>
    <x v="1"/>
    <x v="4"/>
    <x v="1"/>
    <x v="1"/>
    <n v="34"/>
    <x v="0"/>
    <n v="5"/>
    <n v="16539"/>
    <x v="4"/>
    <n v="82695"/>
    <n v="4134.75"/>
    <n v="78560.25"/>
  </r>
  <r>
    <n v="10320"/>
    <x v="319"/>
    <x v="3"/>
    <x v="1"/>
    <x v="0"/>
    <x v="6"/>
    <n v="22"/>
    <x v="1"/>
    <n v="6"/>
    <n v="9666"/>
    <x v="2"/>
    <n v="57996"/>
    <n v="11599.2"/>
    <n v="46396.800000000003"/>
  </r>
  <r>
    <n v="10321"/>
    <x v="320"/>
    <x v="2"/>
    <x v="1"/>
    <x v="2"/>
    <x v="6"/>
    <n v="39"/>
    <x v="4"/>
    <n v="1"/>
    <n v="45883"/>
    <x v="2"/>
    <n v="45883"/>
    <n v="9176.6"/>
    <n v="36706.400000000001"/>
  </r>
  <r>
    <n v="10322"/>
    <x v="321"/>
    <x v="1"/>
    <x v="1"/>
    <x v="3"/>
    <x v="0"/>
    <n v="47"/>
    <x v="3"/>
    <n v="8"/>
    <n v="25649"/>
    <x v="3"/>
    <n v="205192"/>
    <n v="20519.2"/>
    <n v="184672.8"/>
  </r>
  <r>
    <n v="10323"/>
    <x v="322"/>
    <x v="3"/>
    <x v="3"/>
    <x v="0"/>
    <x v="7"/>
    <n v="62"/>
    <x v="2"/>
    <n v="9"/>
    <n v="18291"/>
    <x v="1"/>
    <n v="164619"/>
    <n v="24692.85"/>
    <n v="139926.15"/>
  </r>
  <r>
    <n v="10324"/>
    <x v="323"/>
    <x v="2"/>
    <x v="4"/>
    <x v="3"/>
    <x v="3"/>
    <n v="50"/>
    <x v="3"/>
    <n v="5"/>
    <n v="39229"/>
    <x v="2"/>
    <n v="196145"/>
    <n v="39229"/>
    <n v="156916"/>
  </r>
  <r>
    <n v="10325"/>
    <x v="324"/>
    <x v="2"/>
    <x v="0"/>
    <x v="3"/>
    <x v="0"/>
    <n v="20"/>
    <x v="1"/>
    <n v="5"/>
    <n v="16026"/>
    <x v="1"/>
    <n v="80130"/>
    <n v="12019.5"/>
    <n v="68110.5"/>
  </r>
  <r>
    <n v="10326"/>
    <x v="325"/>
    <x v="2"/>
    <x v="1"/>
    <x v="3"/>
    <x v="6"/>
    <n v="52"/>
    <x v="3"/>
    <n v="3"/>
    <n v="48034"/>
    <x v="3"/>
    <n v="144102"/>
    <n v="14410.2"/>
    <n v="129691.8"/>
  </r>
  <r>
    <n v="10327"/>
    <x v="326"/>
    <x v="1"/>
    <x v="3"/>
    <x v="0"/>
    <x v="3"/>
    <n v="42"/>
    <x v="4"/>
    <n v="1"/>
    <n v="47894"/>
    <x v="3"/>
    <n v="47894"/>
    <n v="4789.3999999999996"/>
    <n v="43104.6"/>
  </r>
  <r>
    <n v="10328"/>
    <x v="327"/>
    <x v="1"/>
    <x v="3"/>
    <x v="2"/>
    <x v="3"/>
    <n v="40"/>
    <x v="4"/>
    <n v="5"/>
    <n v="19121"/>
    <x v="2"/>
    <n v="95605"/>
    <n v="19121"/>
    <n v="76484"/>
  </r>
  <r>
    <n v="10329"/>
    <x v="328"/>
    <x v="2"/>
    <x v="1"/>
    <x v="1"/>
    <x v="4"/>
    <n v="31"/>
    <x v="0"/>
    <n v="6"/>
    <n v="30363"/>
    <x v="4"/>
    <n v="182178"/>
    <n v="9108.9"/>
    <n v="173069.1"/>
  </r>
  <r>
    <n v="10330"/>
    <x v="329"/>
    <x v="1"/>
    <x v="2"/>
    <x v="2"/>
    <x v="2"/>
    <n v="51"/>
    <x v="3"/>
    <n v="7"/>
    <n v="3878"/>
    <x v="2"/>
    <n v="27146"/>
    <n v="5429.2"/>
    <n v="21716.799999999999"/>
  </r>
  <r>
    <n v="10331"/>
    <x v="330"/>
    <x v="0"/>
    <x v="4"/>
    <x v="0"/>
    <x v="0"/>
    <n v="56"/>
    <x v="2"/>
    <n v="3"/>
    <n v="29274"/>
    <x v="0"/>
    <n v="87822"/>
    <n v="0"/>
    <n v="87822"/>
  </r>
  <r>
    <n v="10332"/>
    <x v="331"/>
    <x v="3"/>
    <x v="0"/>
    <x v="0"/>
    <x v="6"/>
    <n v="28"/>
    <x v="0"/>
    <n v="1"/>
    <n v="32520"/>
    <x v="0"/>
    <n v="32520"/>
    <n v="0"/>
    <n v="32520"/>
  </r>
  <r>
    <n v="10333"/>
    <x v="332"/>
    <x v="3"/>
    <x v="3"/>
    <x v="2"/>
    <x v="1"/>
    <n v="39"/>
    <x v="4"/>
    <n v="7"/>
    <n v="18210"/>
    <x v="0"/>
    <n v="127470"/>
    <n v="0"/>
    <n v="127470"/>
  </r>
  <r>
    <n v="10334"/>
    <x v="333"/>
    <x v="1"/>
    <x v="2"/>
    <x v="1"/>
    <x v="6"/>
    <n v="34"/>
    <x v="0"/>
    <n v="4"/>
    <n v="38601"/>
    <x v="0"/>
    <n v="154404"/>
    <n v="0"/>
    <n v="154404"/>
  </r>
  <r>
    <n v="10335"/>
    <x v="334"/>
    <x v="1"/>
    <x v="3"/>
    <x v="1"/>
    <x v="6"/>
    <n v="32"/>
    <x v="0"/>
    <n v="2"/>
    <n v="46088"/>
    <x v="0"/>
    <n v="92176"/>
    <n v="0"/>
    <n v="92176"/>
  </r>
  <r>
    <n v="10336"/>
    <x v="335"/>
    <x v="0"/>
    <x v="2"/>
    <x v="0"/>
    <x v="6"/>
    <n v="25"/>
    <x v="0"/>
    <n v="2"/>
    <n v="28017"/>
    <x v="4"/>
    <n v="56034"/>
    <n v="2801.7"/>
    <n v="53232.3"/>
  </r>
  <r>
    <n v="10337"/>
    <x v="336"/>
    <x v="1"/>
    <x v="0"/>
    <x v="1"/>
    <x v="7"/>
    <n v="21"/>
    <x v="1"/>
    <n v="2"/>
    <n v="11045"/>
    <x v="1"/>
    <n v="22090"/>
    <n v="3313.5"/>
    <n v="18776.5"/>
  </r>
  <r>
    <n v="10338"/>
    <x v="337"/>
    <x v="1"/>
    <x v="3"/>
    <x v="1"/>
    <x v="2"/>
    <n v="31"/>
    <x v="0"/>
    <n v="3"/>
    <n v="14430"/>
    <x v="1"/>
    <n v="43290"/>
    <n v="6493.5"/>
    <n v="36796.5"/>
  </r>
  <r>
    <n v="10339"/>
    <x v="338"/>
    <x v="0"/>
    <x v="2"/>
    <x v="2"/>
    <x v="1"/>
    <n v="30"/>
    <x v="0"/>
    <n v="7"/>
    <n v="28495"/>
    <x v="2"/>
    <n v="199465"/>
    <n v="39893"/>
    <n v="159572"/>
  </r>
  <r>
    <n v="10340"/>
    <x v="339"/>
    <x v="1"/>
    <x v="3"/>
    <x v="1"/>
    <x v="0"/>
    <n v="40"/>
    <x v="4"/>
    <n v="3"/>
    <n v="28375"/>
    <x v="4"/>
    <n v="85125"/>
    <n v="4256.25"/>
    <n v="80868.75"/>
  </r>
  <r>
    <n v="10341"/>
    <x v="340"/>
    <x v="2"/>
    <x v="1"/>
    <x v="2"/>
    <x v="4"/>
    <n v="39"/>
    <x v="4"/>
    <n v="1"/>
    <n v="3736"/>
    <x v="4"/>
    <n v="3736"/>
    <n v="186.8"/>
    <n v="3549.2"/>
  </r>
  <r>
    <n v="10342"/>
    <x v="341"/>
    <x v="3"/>
    <x v="0"/>
    <x v="2"/>
    <x v="6"/>
    <n v="46"/>
    <x v="3"/>
    <n v="6"/>
    <n v="49662"/>
    <x v="2"/>
    <n v="297972"/>
    <n v="59594.400000000001"/>
    <n v="238377.60000000001"/>
  </r>
  <r>
    <n v="10343"/>
    <x v="342"/>
    <x v="3"/>
    <x v="1"/>
    <x v="2"/>
    <x v="4"/>
    <n v="31"/>
    <x v="0"/>
    <n v="5"/>
    <n v="6572"/>
    <x v="0"/>
    <n v="32860"/>
    <n v="0"/>
    <n v="32860"/>
  </r>
  <r>
    <n v="10344"/>
    <x v="343"/>
    <x v="3"/>
    <x v="0"/>
    <x v="0"/>
    <x v="3"/>
    <n v="24"/>
    <x v="1"/>
    <n v="1"/>
    <n v="17469"/>
    <x v="3"/>
    <n v="17469"/>
    <n v="1746.9"/>
    <n v="15722.1"/>
  </r>
  <r>
    <n v="10345"/>
    <x v="344"/>
    <x v="2"/>
    <x v="4"/>
    <x v="1"/>
    <x v="0"/>
    <n v="63"/>
    <x v="2"/>
    <n v="4"/>
    <n v="13632"/>
    <x v="3"/>
    <n v="54528"/>
    <n v="5452.8"/>
    <n v="49075.199999999997"/>
  </r>
  <r>
    <n v="10346"/>
    <x v="345"/>
    <x v="3"/>
    <x v="0"/>
    <x v="1"/>
    <x v="7"/>
    <n v="47"/>
    <x v="3"/>
    <n v="8"/>
    <n v="20287"/>
    <x v="1"/>
    <n v="162296"/>
    <n v="24344.400000000001"/>
    <n v="137951.6"/>
  </r>
  <r>
    <n v="10347"/>
    <x v="346"/>
    <x v="3"/>
    <x v="3"/>
    <x v="2"/>
    <x v="0"/>
    <n v="24"/>
    <x v="1"/>
    <n v="7"/>
    <n v="22035"/>
    <x v="0"/>
    <n v="154245"/>
    <n v="0"/>
    <n v="154245"/>
  </r>
  <r>
    <n v="10348"/>
    <x v="347"/>
    <x v="0"/>
    <x v="3"/>
    <x v="1"/>
    <x v="0"/>
    <n v="58"/>
    <x v="2"/>
    <n v="2"/>
    <n v="26950"/>
    <x v="4"/>
    <n v="53900"/>
    <n v="2695"/>
    <n v="51205"/>
  </r>
  <r>
    <n v="10349"/>
    <x v="348"/>
    <x v="2"/>
    <x v="1"/>
    <x v="0"/>
    <x v="3"/>
    <n v="25"/>
    <x v="0"/>
    <n v="1"/>
    <n v="31344"/>
    <x v="2"/>
    <n v="31344"/>
    <n v="6268.8"/>
    <n v="25075.200000000001"/>
  </r>
  <r>
    <n v="10350"/>
    <x v="349"/>
    <x v="2"/>
    <x v="3"/>
    <x v="0"/>
    <x v="5"/>
    <n v="22"/>
    <x v="1"/>
    <n v="3"/>
    <n v="38169"/>
    <x v="4"/>
    <n v="114507"/>
    <n v="5725.35"/>
    <n v="108781.65"/>
  </r>
  <r>
    <n v="10351"/>
    <x v="350"/>
    <x v="2"/>
    <x v="3"/>
    <x v="3"/>
    <x v="2"/>
    <n v="54"/>
    <x v="3"/>
    <n v="9"/>
    <n v="27662"/>
    <x v="0"/>
    <n v="248958"/>
    <n v="0"/>
    <n v="248958"/>
  </r>
  <r>
    <n v="10352"/>
    <x v="351"/>
    <x v="2"/>
    <x v="2"/>
    <x v="0"/>
    <x v="6"/>
    <n v="46"/>
    <x v="3"/>
    <n v="9"/>
    <n v="1487"/>
    <x v="3"/>
    <n v="13383"/>
    <n v="1338.3"/>
    <n v="12044.7"/>
  </r>
  <r>
    <n v="10353"/>
    <x v="352"/>
    <x v="3"/>
    <x v="0"/>
    <x v="2"/>
    <x v="5"/>
    <n v="53"/>
    <x v="3"/>
    <n v="6"/>
    <n v="33940"/>
    <x v="0"/>
    <n v="203640"/>
    <n v="0"/>
    <n v="203640"/>
  </r>
  <r>
    <n v="10354"/>
    <x v="353"/>
    <x v="0"/>
    <x v="3"/>
    <x v="3"/>
    <x v="0"/>
    <n v="25"/>
    <x v="0"/>
    <n v="8"/>
    <n v="42722"/>
    <x v="2"/>
    <n v="341776"/>
    <n v="68355.199999999997"/>
    <n v="273420.79999999999"/>
  </r>
  <r>
    <n v="10355"/>
    <x v="354"/>
    <x v="1"/>
    <x v="1"/>
    <x v="3"/>
    <x v="3"/>
    <n v="36"/>
    <x v="4"/>
    <n v="1"/>
    <n v="10731"/>
    <x v="3"/>
    <n v="10731"/>
    <n v="1073.0999999999999"/>
    <n v="9657.9"/>
  </r>
  <r>
    <n v="10356"/>
    <x v="355"/>
    <x v="1"/>
    <x v="3"/>
    <x v="1"/>
    <x v="3"/>
    <n v="26"/>
    <x v="0"/>
    <n v="7"/>
    <n v="20024"/>
    <x v="3"/>
    <n v="140168"/>
    <n v="14016.8"/>
    <n v="126151.2"/>
  </r>
  <r>
    <n v="10357"/>
    <x v="356"/>
    <x v="0"/>
    <x v="4"/>
    <x v="0"/>
    <x v="1"/>
    <n v="20"/>
    <x v="1"/>
    <n v="5"/>
    <n v="19451"/>
    <x v="1"/>
    <n v="97255"/>
    <n v="14588.25"/>
    <n v="82666.75"/>
  </r>
  <r>
    <n v="10358"/>
    <x v="357"/>
    <x v="2"/>
    <x v="2"/>
    <x v="2"/>
    <x v="0"/>
    <n v="36"/>
    <x v="4"/>
    <n v="7"/>
    <n v="41671"/>
    <x v="1"/>
    <n v="291697"/>
    <n v="43754.55"/>
    <n v="247942.45"/>
  </r>
  <r>
    <n v="10359"/>
    <x v="358"/>
    <x v="3"/>
    <x v="3"/>
    <x v="0"/>
    <x v="6"/>
    <n v="64"/>
    <x v="2"/>
    <n v="4"/>
    <n v="12147"/>
    <x v="4"/>
    <n v="48588"/>
    <n v="2429.4"/>
    <n v="46158.6"/>
  </r>
  <r>
    <n v="10360"/>
    <x v="359"/>
    <x v="3"/>
    <x v="1"/>
    <x v="3"/>
    <x v="3"/>
    <n v="59"/>
    <x v="2"/>
    <n v="3"/>
    <n v="5480"/>
    <x v="3"/>
    <n v="16440"/>
    <n v="1644"/>
    <n v="14796"/>
  </r>
  <r>
    <n v="10361"/>
    <x v="360"/>
    <x v="0"/>
    <x v="3"/>
    <x v="0"/>
    <x v="2"/>
    <n v="36"/>
    <x v="4"/>
    <n v="3"/>
    <n v="38899"/>
    <x v="4"/>
    <n v="116697"/>
    <n v="5834.85"/>
    <n v="110862.15"/>
  </r>
  <r>
    <n v="10362"/>
    <x v="361"/>
    <x v="3"/>
    <x v="4"/>
    <x v="0"/>
    <x v="3"/>
    <n v="40"/>
    <x v="4"/>
    <n v="5"/>
    <n v="26968"/>
    <x v="2"/>
    <n v="134840"/>
    <n v="26968"/>
    <n v="107872"/>
  </r>
  <r>
    <n v="10363"/>
    <x v="362"/>
    <x v="0"/>
    <x v="1"/>
    <x v="0"/>
    <x v="6"/>
    <n v="47"/>
    <x v="3"/>
    <n v="4"/>
    <n v="26988"/>
    <x v="2"/>
    <n v="107952"/>
    <n v="21590.400000000001"/>
    <n v="86361.600000000006"/>
  </r>
  <r>
    <n v="10364"/>
    <x v="363"/>
    <x v="3"/>
    <x v="2"/>
    <x v="0"/>
    <x v="7"/>
    <n v="53"/>
    <x v="3"/>
    <n v="7"/>
    <n v="24980"/>
    <x v="3"/>
    <n v="174860"/>
    <n v="17486"/>
    <n v="157374"/>
  </r>
  <r>
    <n v="10365"/>
    <x v="364"/>
    <x v="0"/>
    <x v="3"/>
    <x v="0"/>
    <x v="5"/>
    <n v="29"/>
    <x v="0"/>
    <n v="9"/>
    <n v="17032"/>
    <x v="4"/>
    <n v="153288"/>
    <n v="7664.4"/>
    <n v="145623.6"/>
  </r>
  <r>
    <n v="10366"/>
    <x v="365"/>
    <x v="3"/>
    <x v="0"/>
    <x v="2"/>
    <x v="3"/>
    <n v="30"/>
    <x v="0"/>
    <n v="5"/>
    <n v="24742"/>
    <x v="1"/>
    <n v="123710"/>
    <n v="18556.5"/>
    <n v="105153.5"/>
  </r>
  <r>
    <n v="10367"/>
    <x v="366"/>
    <x v="2"/>
    <x v="4"/>
    <x v="2"/>
    <x v="7"/>
    <n v="55"/>
    <x v="2"/>
    <n v="3"/>
    <n v="48886"/>
    <x v="3"/>
    <n v="146658"/>
    <n v="14665.8"/>
    <n v="131992.20000000001"/>
  </r>
  <r>
    <n v="10368"/>
    <x v="367"/>
    <x v="2"/>
    <x v="3"/>
    <x v="2"/>
    <x v="2"/>
    <n v="32"/>
    <x v="0"/>
    <n v="1"/>
    <n v="839"/>
    <x v="0"/>
    <n v="839"/>
    <n v="0"/>
    <n v="839"/>
  </r>
  <r>
    <n v="10369"/>
    <x v="368"/>
    <x v="3"/>
    <x v="2"/>
    <x v="2"/>
    <x v="3"/>
    <n v="23"/>
    <x v="1"/>
    <n v="7"/>
    <n v="6416"/>
    <x v="0"/>
    <n v="44912"/>
    <n v="0"/>
    <n v="44912"/>
  </r>
  <r>
    <n v="10370"/>
    <x v="369"/>
    <x v="3"/>
    <x v="0"/>
    <x v="0"/>
    <x v="5"/>
    <n v="42"/>
    <x v="4"/>
    <n v="6"/>
    <n v="31242"/>
    <x v="1"/>
    <n v="187452"/>
    <n v="28117.8"/>
    <n v="159334.20000000001"/>
  </r>
  <r>
    <n v="10371"/>
    <x v="370"/>
    <x v="2"/>
    <x v="0"/>
    <x v="2"/>
    <x v="0"/>
    <n v="23"/>
    <x v="1"/>
    <n v="6"/>
    <n v="26095"/>
    <x v="4"/>
    <n v="156570"/>
    <n v="7828.5"/>
    <n v="148741.5"/>
  </r>
  <r>
    <n v="10372"/>
    <x v="371"/>
    <x v="0"/>
    <x v="0"/>
    <x v="1"/>
    <x v="4"/>
    <n v="47"/>
    <x v="3"/>
    <n v="3"/>
    <n v="12033"/>
    <x v="1"/>
    <n v="36099"/>
    <n v="5414.85"/>
    <n v="30684.15"/>
  </r>
  <r>
    <n v="10373"/>
    <x v="372"/>
    <x v="3"/>
    <x v="1"/>
    <x v="3"/>
    <x v="7"/>
    <n v="31"/>
    <x v="0"/>
    <n v="6"/>
    <n v="1197"/>
    <x v="0"/>
    <n v="7182"/>
    <n v="0"/>
    <n v="7182"/>
  </r>
  <r>
    <n v="10374"/>
    <x v="373"/>
    <x v="2"/>
    <x v="1"/>
    <x v="2"/>
    <x v="0"/>
    <n v="42"/>
    <x v="4"/>
    <n v="4"/>
    <n v="9065"/>
    <x v="1"/>
    <n v="36260"/>
    <n v="5439"/>
    <n v="30821"/>
  </r>
  <r>
    <n v="10375"/>
    <x v="374"/>
    <x v="3"/>
    <x v="3"/>
    <x v="2"/>
    <x v="6"/>
    <n v="60"/>
    <x v="2"/>
    <n v="1"/>
    <n v="38465"/>
    <x v="2"/>
    <n v="38465"/>
    <n v="7693"/>
    <n v="30772"/>
  </r>
  <r>
    <n v="10376"/>
    <x v="375"/>
    <x v="1"/>
    <x v="0"/>
    <x v="1"/>
    <x v="5"/>
    <n v="28"/>
    <x v="0"/>
    <n v="4"/>
    <n v="514"/>
    <x v="4"/>
    <n v="2056"/>
    <n v="102.8"/>
    <n v="1953.2"/>
  </r>
  <r>
    <n v="10377"/>
    <x v="376"/>
    <x v="2"/>
    <x v="3"/>
    <x v="0"/>
    <x v="3"/>
    <n v="19"/>
    <x v="1"/>
    <n v="4"/>
    <n v="1424"/>
    <x v="1"/>
    <n v="5696"/>
    <n v="854.4"/>
    <n v="4841.6000000000004"/>
  </r>
  <r>
    <n v="10378"/>
    <x v="377"/>
    <x v="1"/>
    <x v="2"/>
    <x v="3"/>
    <x v="4"/>
    <n v="39"/>
    <x v="4"/>
    <n v="7"/>
    <n v="1765"/>
    <x v="4"/>
    <n v="12355"/>
    <n v="617.75"/>
    <n v="11737.25"/>
  </r>
  <r>
    <n v="10379"/>
    <x v="378"/>
    <x v="0"/>
    <x v="3"/>
    <x v="3"/>
    <x v="1"/>
    <n v="55"/>
    <x v="2"/>
    <n v="7"/>
    <n v="23901"/>
    <x v="4"/>
    <n v="167307"/>
    <n v="8365.35"/>
    <n v="158941.65"/>
  </r>
  <r>
    <n v="10380"/>
    <x v="379"/>
    <x v="2"/>
    <x v="4"/>
    <x v="2"/>
    <x v="1"/>
    <n v="38"/>
    <x v="4"/>
    <n v="9"/>
    <n v="19722"/>
    <x v="2"/>
    <n v="177498"/>
    <n v="35499.599999999999"/>
    <n v="141998.39999999999"/>
  </r>
  <r>
    <n v="10381"/>
    <x v="380"/>
    <x v="2"/>
    <x v="3"/>
    <x v="3"/>
    <x v="0"/>
    <n v="31"/>
    <x v="0"/>
    <n v="7"/>
    <n v="9049"/>
    <x v="0"/>
    <n v="63343"/>
    <n v="0"/>
    <n v="63343"/>
  </r>
  <r>
    <n v="10382"/>
    <x v="381"/>
    <x v="1"/>
    <x v="3"/>
    <x v="1"/>
    <x v="2"/>
    <n v="61"/>
    <x v="2"/>
    <n v="5"/>
    <n v="7897"/>
    <x v="4"/>
    <n v="39485"/>
    <n v="1974.25"/>
    <n v="37510.75"/>
  </r>
  <r>
    <n v="10383"/>
    <x v="382"/>
    <x v="1"/>
    <x v="0"/>
    <x v="3"/>
    <x v="7"/>
    <n v="44"/>
    <x v="4"/>
    <n v="2"/>
    <n v="24530"/>
    <x v="0"/>
    <n v="49060"/>
    <n v="0"/>
    <n v="49060"/>
  </r>
  <r>
    <n v="10384"/>
    <x v="383"/>
    <x v="3"/>
    <x v="0"/>
    <x v="2"/>
    <x v="6"/>
    <n v="24"/>
    <x v="1"/>
    <n v="3"/>
    <n v="8633"/>
    <x v="1"/>
    <n v="25899"/>
    <n v="3884.85"/>
    <n v="22014.15"/>
  </r>
  <r>
    <n v="10385"/>
    <x v="384"/>
    <x v="1"/>
    <x v="2"/>
    <x v="2"/>
    <x v="0"/>
    <n v="49"/>
    <x v="3"/>
    <n v="1"/>
    <n v="27612"/>
    <x v="3"/>
    <n v="27612"/>
    <n v="2761.2"/>
    <n v="24850.799999999999"/>
  </r>
  <r>
    <n v="10386"/>
    <x v="385"/>
    <x v="2"/>
    <x v="1"/>
    <x v="3"/>
    <x v="7"/>
    <n v="37"/>
    <x v="4"/>
    <n v="2"/>
    <n v="31648"/>
    <x v="0"/>
    <n v="63296"/>
    <n v="0"/>
    <n v="63296"/>
  </r>
  <r>
    <n v="10387"/>
    <x v="386"/>
    <x v="1"/>
    <x v="4"/>
    <x v="2"/>
    <x v="4"/>
    <n v="19"/>
    <x v="1"/>
    <n v="1"/>
    <n v="25191"/>
    <x v="2"/>
    <n v="25191"/>
    <n v="5038.2"/>
    <n v="20152.8"/>
  </r>
  <r>
    <n v="10388"/>
    <x v="387"/>
    <x v="3"/>
    <x v="4"/>
    <x v="3"/>
    <x v="5"/>
    <n v="18"/>
    <x v="1"/>
    <n v="9"/>
    <n v="25200"/>
    <x v="2"/>
    <n v="226800"/>
    <n v="45360"/>
    <n v="181440"/>
  </r>
  <r>
    <n v="10389"/>
    <x v="388"/>
    <x v="1"/>
    <x v="2"/>
    <x v="1"/>
    <x v="6"/>
    <n v="35"/>
    <x v="4"/>
    <n v="1"/>
    <n v="14375"/>
    <x v="1"/>
    <n v="14375"/>
    <n v="2156.25"/>
    <n v="12218.75"/>
  </r>
  <r>
    <n v="10390"/>
    <x v="389"/>
    <x v="0"/>
    <x v="3"/>
    <x v="3"/>
    <x v="1"/>
    <n v="55"/>
    <x v="2"/>
    <n v="2"/>
    <n v="7791"/>
    <x v="4"/>
    <n v="15582"/>
    <n v="779.1"/>
    <n v="14802.9"/>
  </r>
  <r>
    <n v="10391"/>
    <x v="390"/>
    <x v="3"/>
    <x v="4"/>
    <x v="0"/>
    <x v="5"/>
    <n v="30"/>
    <x v="0"/>
    <n v="3"/>
    <n v="3953"/>
    <x v="1"/>
    <n v="11859"/>
    <n v="1778.85"/>
    <n v="10080.15"/>
  </r>
  <r>
    <n v="10392"/>
    <x v="391"/>
    <x v="2"/>
    <x v="3"/>
    <x v="2"/>
    <x v="6"/>
    <n v="24"/>
    <x v="1"/>
    <n v="6"/>
    <n v="8960"/>
    <x v="1"/>
    <n v="53760"/>
    <n v="8064"/>
    <n v="45696"/>
  </r>
  <r>
    <n v="10393"/>
    <x v="392"/>
    <x v="1"/>
    <x v="1"/>
    <x v="1"/>
    <x v="7"/>
    <n v="38"/>
    <x v="4"/>
    <n v="2"/>
    <n v="39655"/>
    <x v="1"/>
    <n v="79310"/>
    <n v="11896.5"/>
    <n v="67413.5"/>
  </r>
  <r>
    <n v="10394"/>
    <x v="393"/>
    <x v="2"/>
    <x v="1"/>
    <x v="3"/>
    <x v="6"/>
    <n v="33"/>
    <x v="0"/>
    <n v="8"/>
    <n v="6865"/>
    <x v="2"/>
    <n v="54920"/>
    <n v="10984"/>
    <n v="43936"/>
  </r>
  <r>
    <n v="10395"/>
    <x v="394"/>
    <x v="2"/>
    <x v="4"/>
    <x v="2"/>
    <x v="4"/>
    <n v="63"/>
    <x v="2"/>
    <n v="7"/>
    <n v="41285"/>
    <x v="1"/>
    <n v="288995"/>
    <n v="43349.25"/>
    <n v="245645.75"/>
  </r>
  <r>
    <n v="10396"/>
    <x v="395"/>
    <x v="2"/>
    <x v="3"/>
    <x v="0"/>
    <x v="7"/>
    <n v="47"/>
    <x v="3"/>
    <n v="5"/>
    <n v="19912"/>
    <x v="1"/>
    <n v="99560"/>
    <n v="14934"/>
    <n v="84626"/>
  </r>
  <r>
    <n v="10397"/>
    <x v="396"/>
    <x v="3"/>
    <x v="2"/>
    <x v="1"/>
    <x v="7"/>
    <n v="24"/>
    <x v="1"/>
    <n v="1"/>
    <n v="1096"/>
    <x v="0"/>
    <n v="1096"/>
    <n v="0"/>
    <n v="1096"/>
  </r>
  <r>
    <n v="10398"/>
    <x v="397"/>
    <x v="3"/>
    <x v="4"/>
    <x v="0"/>
    <x v="5"/>
    <n v="32"/>
    <x v="0"/>
    <n v="6"/>
    <n v="34730"/>
    <x v="2"/>
    <n v="208380"/>
    <n v="41676"/>
    <n v="166704"/>
  </r>
  <r>
    <n v="10399"/>
    <x v="398"/>
    <x v="1"/>
    <x v="0"/>
    <x v="1"/>
    <x v="0"/>
    <n v="60"/>
    <x v="2"/>
    <n v="6"/>
    <n v="43392"/>
    <x v="0"/>
    <n v="260352"/>
    <n v="0"/>
    <n v="260352"/>
  </r>
  <r>
    <n v="10400"/>
    <x v="399"/>
    <x v="1"/>
    <x v="1"/>
    <x v="3"/>
    <x v="1"/>
    <n v="31"/>
    <x v="0"/>
    <n v="5"/>
    <n v="3374"/>
    <x v="4"/>
    <n v="16870"/>
    <n v="843.5"/>
    <n v="16026.5"/>
  </r>
  <r>
    <n v="10401"/>
    <x v="400"/>
    <x v="2"/>
    <x v="4"/>
    <x v="2"/>
    <x v="3"/>
    <n v="30"/>
    <x v="0"/>
    <n v="6"/>
    <n v="46298"/>
    <x v="2"/>
    <n v="277788"/>
    <n v="55557.599999999999"/>
    <n v="222230.39999999999"/>
  </r>
  <r>
    <n v="10402"/>
    <x v="401"/>
    <x v="3"/>
    <x v="0"/>
    <x v="2"/>
    <x v="6"/>
    <n v="35"/>
    <x v="4"/>
    <n v="3"/>
    <n v="9331"/>
    <x v="2"/>
    <n v="27993"/>
    <n v="5598.6"/>
    <n v="22394.400000000001"/>
  </r>
  <r>
    <n v="10403"/>
    <x v="402"/>
    <x v="0"/>
    <x v="3"/>
    <x v="3"/>
    <x v="7"/>
    <n v="60"/>
    <x v="2"/>
    <n v="4"/>
    <n v="24973"/>
    <x v="2"/>
    <n v="99892"/>
    <n v="19978.400000000001"/>
    <n v="79913.600000000006"/>
  </r>
  <r>
    <n v="10404"/>
    <x v="403"/>
    <x v="1"/>
    <x v="3"/>
    <x v="3"/>
    <x v="5"/>
    <n v="58"/>
    <x v="2"/>
    <n v="2"/>
    <n v="25329"/>
    <x v="4"/>
    <n v="50658"/>
    <n v="2532.9"/>
    <n v="48125.1"/>
  </r>
  <r>
    <n v="10405"/>
    <x v="404"/>
    <x v="0"/>
    <x v="2"/>
    <x v="0"/>
    <x v="1"/>
    <n v="61"/>
    <x v="2"/>
    <n v="7"/>
    <n v="30921"/>
    <x v="3"/>
    <n v="216447"/>
    <n v="21644.7"/>
    <n v="194802.3"/>
  </r>
  <r>
    <n v="10406"/>
    <x v="405"/>
    <x v="0"/>
    <x v="2"/>
    <x v="1"/>
    <x v="3"/>
    <n v="29"/>
    <x v="0"/>
    <n v="1"/>
    <n v="41701"/>
    <x v="2"/>
    <n v="41701"/>
    <n v="8340.2000000000007"/>
    <n v="33360.800000000003"/>
  </r>
  <r>
    <n v="10407"/>
    <x v="406"/>
    <x v="2"/>
    <x v="1"/>
    <x v="3"/>
    <x v="1"/>
    <n v="43"/>
    <x v="4"/>
    <n v="2"/>
    <n v="10903"/>
    <x v="0"/>
    <n v="21806"/>
    <n v="0"/>
    <n v="21806"/>
  </r>
  <r>
    <n v="10408"/>
    <x v="407"/>
    <x v="0"/>
    <x v="4"/>
    <x v="2"/>
    <x v="1"/>
    <n v="43"/>
    <x v="4"/>
    <n v="4"/>
    <n v="46384"/>
    <x v="1"/>
    <n v="185536"/>
    <n v="27830.400000000001"/>
    <n v="157705.60000000001"/>
  </r>
  <r>
    <n v="10409"/>
    <x v="408"/>
    <x v="3"/>
    <x v="3"/>
    <x v="3"/>
    <x v="2"/>
    <n v="60"/>
    <x v="2"/>
    <n v="6"/>
    <n v="14435"/>
    <x v="1"/>
    <n v="86610"/>
    <n v="12991.5"/>
    <n v="73618.5"/>
  </r>
  <r>
    <n v="10410"/>
    <x v="409"/>
    <x v="0"/>
    <x v="2"/>
    <x v="3"/>
    <x v="4"/>
    <n v="26"/>
    <x v="0"/>
    <n v="8"/>
    <n v="10807"/>
    <x v="1"/>
    <n v="86456"/>
    <n v="12968.4"/>
    <n v="73487.600000000006"/>
  </r>
  <r>
    <n v="10411"/>
    <x v="410"/>
    <x v="3"/>
    <x v="2"/>
    <x v="2"/>
    <x v="0"/>
    <n v="60"/>
    <x v="2"/>
    <n v="6"/>
    <n v="41515"/>
    <x v="3"/>
    <n v="249090"/>
    <n v="24909"/>
    <n v="224181"/>
  </r>
  <r>
    <n v="10412"/>
    <x v="411"/>
    <x v="3"/>
    <x v="0"/>
    <x v="3"/>
    <x v="6"/>
    <n v="62"/>
    <x v="2"/>
    <n v="3"/>
    <n v="16283"/>
    <x v="0"/>
    <n v="48849"/>
    <n v="0"/>
    <n v="48849"/>
  </r>
  <r>
    <n v="10413"/>
    <x v="412"/>
    <x v="0"/>
    <x v="4"/>
    <x v="1"/>
    <x v="6"/>
    <n v="62"/>
    <x v="2"/>
    <n v="4"/>
    <n v="11227"/>
    <x v="1"/>
    <n v="44908"/>
    <n v="6736.2"/>
    <n v="38171.800000000003"/>
  </r>
  <r>
    <n v="10414"/>
    <x v="413"/>
    <x v="2"/>
    <x v="2"/>
    <x v="0"/>
    <x v="1"/>
    <n v="50"/>
    <x v="3"/>
    <n v="7"/>
    <n v="44269"/>
    <x v="3"/>
    <n v="309883"/>
    <n v="30988.3"/>
    <n v="278894.7"/>
  </r>
  <r>
    <n v="10415"/>
    <x v="414"/>
    <x v="0"/>
    <x v="4"/>
    <x v="3"/>
    <x v="6"/>
    <n v="46"/>
    <x v="3"/>
    <n v="2"/>
    <n v="12852"/>
    <x v="2"/>
    <n v="25704"/>
    <n v="5140.8"/>
    <n v="20563.2"/>
  </r>
  <r>
    <n v="10416"/>
    <x v="415"/>
    <x v="3"/>
    <x v="4"/>
    <x v="3"/>
    <x v="4"/>
    <n v="23"/>
    <x v="1"/>
    <n v="7"/>
    <n v="26495"/>
    <x v="0"/>
    <n v="185465"/>
    <n v="0"/>
    <n v="185465"/>
  </r>
  <r>
    <n v="10417"/>
    <x v="416"/>
    <x v="1"/>
    <x v="2"/>
    <x v="1"/>
    <x v="6"/>
    <n v="38"/>
    <x v="4"/>
    <n v="8"/>
    <n v="41065"/>
    <x v="4"/>
    <n v="328520"/>
    <n v="16426"/>
    <n v="312094"/>
  </r>
  <r>
    <n v="10418"/>
    <x v="417"/>
    <x v="3"/>
    <x v="4"/>
    <x v="1"/>
    <x v="0"/>
    <n v="25"/>
    <x v="0"/>
    <n v="6"/>
    <n v="45842"/>
    <x v="0"/>
    <n v="275052"/>
    <n v="0"/>
    <n v="275052"/>
  </r>
  <r>
    <n v="10419"/>
    <x v="418"/>
    <x v="2"/>
    <x v="4"/>
    <x v="3"/>
    <x v="6"/>
    <n v="54"/>
    <x v="3"/>
    <n v="4"/>
    <n v="5571"/>
    <x v="3"/>
    <n v="22284"/>
    <n v="2228.4"/>
    <n v="20055.599999999999"/>
  </r>
  <r>
    <n v="10420"/>
    <x v="419"/>
    <x v="2"/>
    <x v="0"/>
    <x v="3"/>
    <x v="0"/>
    <n v="51"/>
    <x v="3"/>
    <n v="4"/>
    <n v="9897"/>
    <x v="1"/>
    <n v="39588"/>
    <n v="5938.2"/>
    <n v="33649.800000000003"/>
  </r>
  <r>
    <n v="10421"/>
    <x v="420"/>
    <x v="2"/>
    <x v="3"/>
    <x v="3"/>
    <x v="2"/>
    <n v="57"/>
    <x v="2"/>
    <n v="7"/>
    <n v="37654"/>
    <x v="4"/>
    <n v="263578"/>
    <n v="13178.9"/>
    <n v="250399.1"/>
  </r>
  <r>
    <n v="10422"/>
    <x v="421"/>
    <x v="1"/>
    <x v="1"/>
    <x v="0"/>
    <x v="0"/>
    <n v="37"/>
    <x v="4"/>
    <n v="1"/>
    <n v="39972"/>
    <x v="1"/>
    <n v="39972"/>
    <n v="5995.8"/>
    <n v="33976.199999999997"/>
  </r>
  <r>
    <n v="10423"/>
    <x v="422"/>
    <x v="3"/>
    <x v="2"/>
    <x v="0"/>
    <x v="3"/>
    <n v="39"/>
    <x v="4"/>
    <n v="3"/>
    <n v="48800"/>
    <x v="0"/>
    <n v="146400"/>
    <n v="0"/>
    <n v="146400"/>
  </r>
  <r>
    <n v="10424"/>
    <x v="423"/>
    <x v="2"/>
    <x v="0"/>
    <x v="0"/>
    <x v="3"/>
    <n v="27"/>
    <x v="0"/>
    <n v="5"/>
    <n v="41476"/>
    <x v="2"/>
    <n v="207380"/>
    <n v="41476"/>
    <n v="165904"/>
  </r>
  <r>
    <n v="10425"/>
    <x v="424"/>
    <x v="1"/>
    <x v="2"/>
    <x v="3"/>
    <x v="7"/>
    <n v="31"/>
    <x v="0"/>
    <n v="1"/>
    <n v="10447"/>
    <x v="2"/>
    <n v="10447"/>
    <n v="2089.4"/>
    <n v="8357.6"/>
  </r>
  <r>
    <n v="10426"/>
    <x v="425"/>
    <x v="1"/>
    <x v="3"/>
    <x v="1"/>
    <x v="1"/>
    <n v="29"/>
    <x v="0"/>
    <n v="6"/>
    <n v="42768"/>
    <x v="1"/>
    <n v="256608"/>
    <n v="38491.199999999997"/>
    <n v="218116.8"/>
  </r>
  <r>
    <n v="10427"/>
    <x v="426"/>
    <x v="1"/>
    <x v="0"/>
    <x v="0"/>
    <x v="0"/>
    <n v="55"/>
    <x v="2"/>
    <n v="6"/>
    <n v="29712"/>
    <x v="4"/>
    <n v="178272"/>
    <n v="8913.6"/>
    <n v="169358.4"/>
  </r>
  <r>
    <n v="10428"/>
    <x v="427"/>
    <x v="0"/>
    <x v="4"/>
    <x v="3"/>
    <x v="2"/>
    <n v="21"/>
    <x v="1"/>
    <n v="6"/>
    <n v="11481"/>
    <x v="4"/>
    <n v="68886"/>
    <n v="3444.3"/>
    <n v="65441.7"/>
  </r>
  <r>
    <n v="10429"/>
    <x v="428"/>
    <x v="1"/>
    <x v="4"/>
    <x v="3"/>
    <x v="7"/>
    <n v="53"/>
    <x v="3"/>
    <n v="7"/>
    <n v="38753"/>
    <x v="2"/>
    <n v="271271"/>
    <n v="54254.2"/>
    <n v="217016.8"/>
  </r>
  <r>
    <n v="10430"/>
    <x v="429"/>
    <x v="2"/>
    <x v="4"/>
    <x v="0"/>
    <x v="3"/>
    <n v="55"/>
    <x v="2"/>
    <n v="1"/>
    <n v="22799"/>
    <x v="2"/>
    <n v="22799"/>
    <n v="4559.8"/>
    <n v="18239.2"/>
  </r>
  <r>
    <n v="10431"/>
    <x v="430"/>
    <x v="3"/>
    <x v="2"/>
    <x v="3"/>
    <x v="4"/>
    <n v="59"/>
    <x v="2"/>
    <n v="7"/>
    <n v="15740"/>
    <x v="1"/>
    <n v="110180"/>
    <n v="16527"/>
    <n v="93653"/>
  </r>
  <r>
    <n v="10432"/>
    <x v="431"/>
    <x v="3"/>
    <x v="0"/>
    <x v="0"/>
    <x v="7"/>
    <n v="27"/>
    <x v="0"/>
    <n v="7"/>
    <n v="25718"/>
    <x v="3"/>
    <n v="180026"/>
    <n v="18002.599999999999"/>
    <n v="162023.4"/>
  </r>
  <r>
    <n v="10433"/>
    <x v="432"/>
    <x v="1"/>
    <x v="3"/>
    <x v="2"/>
    <x v="3"/>
    <n v="33"/>
    <x v="0"/>
    <n v="6"/>
    <n v="35281"/>
    <x v="4"/>
    <n v="211686"/>
    <n v="10584.3"/>
    <n v="201101.7"/>
  </r>
  <r>
    <n v="10434"/>
    <x v="433"/>
    <x v="2"/>
    <x v="3"/>
    <x v="3"/>
    <x v="1"/>
    <n v="47"/>
    <x v="3"/>
    <n v="6"/>
    <n v="35635"/>
    <x v="1"/>
    <n v="213810"/>
    <n v="32071.5"/>
    <n v="181738.5"/>
  </r>
  <r>
    <n v="10435"/>
    <x v="434"/>
    <x v="0"/>
    <x v="4"/>
    <x v="2"/>
    <x v="1"/>
    <n v="58"/>
    <x v="2"/>
    <n v="2"/>
    <n v="7908"/>
    <x v="2"/>
    <n v="15816"/>
    <n v="3163.2"/>
    <n v="12652.8"/>
  </r>
  <r>
    <n v="10436"/>
    <x v="435"/>
    <x v="0"/>
    <x v="3"/>
    <x v="1"/>
    <x v="7"/>
    <n v="39"/>
    <x v="4"/>
    <n v="3"/>
    <n v="26650"/>
    <x v="1"/>
    <n v="79950"/>
    <n v="11992.5"/>
    <n v="67957.5"/>
  </r>
  <r>
    <n v="10437"/>
    <x v="436"/>
    <x v="3"/>
    <x v="4"/>
    <x v="2"/>
    <x v="6"/>
    <n v="30"/>
    <x v="0"/>
    <n v="6"/>
    <n v="24210"/>
    <x v="4"/>
    <n v="145260"/>
    <n v="7263"/>
    <n v="137997"/>
  </r>
  <r>
    <n v="10438"/>
    <x v="437"/>
    <x v="0"/>
    <x v="0"/>
    <x v="3"/>
    <x v="1"/>
    <n v="47"/>
    <x v="3"/>
    <n v="5"/>
    <n v="33246"/>
    <x v="0"/>
    <n v="166230"/>
    <n v="0"/>
    <n v="166230"/>
  </r>
  <r>
    <n v="10439"/>
    <x v="438"/>
    <x v="1"/>
    <x v="3"/>
    <x v="1"/>
    <x v="4"/>
    <n v="43"/>
    <x v="4"/>
    <n v="5"/>
    <n v="3160"/>
    <x v="1"/>
    <n v="15800"/>
    <n v="2370"/>
    <n v="13430"/>
  </r>
  <r>
    <n v="10440"/>
    <x v="439"/>
    <x v="3"/>
    <x v="3"/>
    <x v="1"/>
    <x v="4"/>
    <n v="40"/>
    <x v="4"/>
    <n v="3"/>
    <n v="6775"/>
    <x v="2"/>
    <n v="20325"/>
    <n v="4065"/>
    <n v="16260"/>
  </r>
  <r>
    <n v="10441"/>
    <x v="440"/>
    <x v="2"/>
    <x v="0"/>
    <x v="0"/>
    <x v="4"/>
    <n v="55"/>
    <x v="2"/>
    <n v="3"/>
    <n v="29133"/>
    <x v="0"/>
    <n v="87399"/>
    <n v="0"/>
    <n v="87399"/>
  </r>
  <r>
    <n v="10442"/>
    <x v="441"/>
    <x v="0"/>
    <x v="1"/>
    <x v="3"/>
    <x v="0"/>
    <n v="61"/>
    <x v="2"/>
    <n v="8"/>
    <n v="18250"/>
    <x v="3"/>
    <n v="146000"/>
    <n v="14600"/>
    <n v="131400"/>
  </r>
  <r>
    <n v="10443"/>
    <x v="442"/>
    <x v="0"/>
    <x v="3"/>
    <x v="0"/>
    <x v="7"/>
    <n v="33"/>
    <x v="0"/>
    <n v="7"/>
    <n v="35462"/>
    <x v="4"/>
    <n v="248234"/>
    <n v="12411.7"/>
    <n v="235822.3"/>
  </r>
  <r>
    <n v="10444"/>
    <x v="443"/>
    <x v="2"/>
    <x v="0"/>
    <x v="1"/>
    <x v="0"/>
    <n v="40"/>
    <x v="4"/>
    <n v="6"/>
    <n v="29858"/>
    <x v="4"/>
    <n v="179148"/>
    <n v="8957.4"/>
    <n v="170190.6"/>
  </r>
  <r>
    <n v="10445"/>
    <x v="444"/>
    <x v="0"/>
    <x v="3"/>
    <x v="3"/>
    <x v="7"/>
    <n v="45"/>
    <x v="3"/>
    <n v="3"/>
    <n v="44269"/>
    <x v="2"/>
    <n v="132807"/>
    <n v="26561.4"/>
    <n v="106245.6"/>
  </r>
  <r>
    <n v="10446"/>
    <x v="445"/>
    <x v="1"/>
    <x v="4"/>
    <x v="1"/>
    <x v="2"/>
    <n v="54"/>
    <x v="3"/>
    <n v="8"/>
    <n v="47848"/>
    <x v="0"/>
    <n v="382784"/>
    <n v="0"/>
    <n v="382784"/>
  </r>
  <r>
    <n v="10447"/>
    <x v="446"/>
    <x v="1"/>
    <x v="4"/>
    <x v="3"/>
    <x v="1"/>
    <n v="63"/>
    <x v="2"/>
    <n v="4"/>
    <n v="47778"/>
    <x v="3"/>
    <n v="191112"/>
    <n v="19111.2"/>
    <n v="172000.8"/>
  </r>
  <r>
    <n v="10448"/>
    <x v="447"/>
    <x v="0"/>
    <x v="0"/>
    <x v="3"/>
    <x v="7"/>
    <n v="20"/>
    <x v="1"/>
    <n v="5"/>
    <n v="9876"/>
    <x v="1"/>
    <n v="49380"/>
    <n v="7407"/>
    <n v="41973"/>
  </r>
  <r>
    <n v="10449"/>
    <x v="448"/>
    <x v="3"/>
    <x v="3"/>
    <x v="3"/>
    <x v="1"/>
    <n v="21"/>
    <x v="1"/>
    <n v="5"/>
    <n v="24850"/>
    <x v="4"/>
    <n v="124250"/>
    <n v="6212.5"/>
    <n v="118037.5"/>
  </r>
  <r>
    <n v="10450"/>
    <x v="449"/>
    <x v="1"/>
    <x v="1"/>
    <x v="3"/>
    <x v="6"/>
    <n v="49"/>
    <x v="3"/>
    <n v="8"/>
    <n v="660"/>
    <x v="4"/>
    <n v="5280"/>
    <n v="264"/>
    <n v="5016"/>
  </r>
  <r>
    <n v="10451"/>
    <x v="450"/>
    <x v="3"/>
    <x v="0"/>
    <x v="3"/>
    <x v="5"/>
    <n v="26"/>
    <x v="0"/>
    <n v="5"/>
    <n v="5310"/>
    <x v="4"/>
    <n v="26550"/>
    <n v="1327.5"/>
    <n v="25222.5"/>
  </r>
  <r>
    <n v="10452"/>
    <x v="451"/>
    <x v="2"/>
    <x v="0"/>
    <x v="3"/>
    <x v="6"/>
    <n v="26"/>
    <x v="0"/>
    <n v="4"/>
    <n v="35252"/>
    <x v="2"/>
    <n v="141008"/>
    <n v="28201.599999999999"/>
    <n v="112806.39999999999"/>
  </r>
  <r>
    <n v="10453"/>
    <x v="452"/>
    <x v="3"/>
    <x v="3"/>
    <x v="2"/>
    <x v="3"/>
    <n v="53"/>
    <x v="3"/>
    <n v="3"/>
    <n v="37998"/>
    <x v="3"/>
    <n v="113994"/>
    <n v="11399.4"/>
    <n v="102594.6"/>
  </r>
  <r>
    <n v="10454"/>
    <x v="453"/>
    <x v="2"/>
    <x v="2"/>
    <x v="0"/>
    <x v="7"/>
    <n v="43"/>
    <x v="4"/>
    <n v="3"/>
    <n v="43946"/>
    <x v="3"/>
    <n v="131838"/>
    <n v="13183.8"/>
    <n v="118654.2"/>
  </r>
  <r>
    <n v="10455"/>
    <x v="454"/>
    <x v="3"/>
    <x v="3"/>
    <x v="0"/>
    <x v="0"/>
    <n v="34"/>
    <x v="0"/>
    <n v="1"/>
    <n v="18813"/>
    <x v="3"/>
    <n v="18813"/>
    <n v="1881.3"/>
    <n v="16931.7"/>
  </r>
  <r>
    <n v="10456"/>
    <x v="455"/>
    <x v="1"/>
    <x v="1"/>
    <x v="2"/>
    <x v="7"/>
    <n v="60"/>
    <x v="2"/>
    <n v="5"/>
    <n v="22380"/>
    <x v="2"/>
    <n v="111900"/>
    <n v="22380"/>
    <n v="89520"/>
  </r>
  <r>
    <n v="10457"/>
    <x v="456"/>
    <x v="2"/>
    <x v="3"/>
    <x v="1"/>
    <x v="0"/>
    <n v="39"/>
    <x v="4"/>
    <n v="9"/>
    <n v="26342"/>
    <x v="2"/>
    <n v="237078"/>
    <n v="47415.6"/>
    <n v="189662.4"/>
  </r>
  <r>
    <n v="10458"/>
    <x v="457"/>
    <x v="3"/>
    <x v="0"/>
    <x v="2"/>
    <x v="0"/>
    <n v="28"/>
    <x v="0"/>
    <n v="8"/>
    <n v="5804"/>
    <x v="4"/>
    <n v="46432"/>
    <n v="2321.6"/>
    <n v="44110.400000000001"/>
  </r>
  <r>
    <n v="10459"/>
    <x v="458"/>
    <x v="3"/>
    <x v="4"/>
    <x v="2"/>
    <x v="4"/>
    <n v="50"/>
    <x v="3"/>
    <n v="1"/>
    <n v="48932"/>
    <x v="1"/>
    <n v="48932"/>
    <n v="7339.8"/>
    <n v="41592.199999999997"/>
  </r>
  <r>
    <n v="10460"/>
    <x v="459"/>
    <x v="2"/>
    <x v="1"/>
    <x v="0"/>
    <x v="7"/>
    <n v="24"/>
    <x v="1"/>
    <n v="6"/>
    <n v="33217"/>
    <x v="0"/>
    <n v="199302"/>
    <n v="0"/>
    <n v="199302"/>
  </r>
  <r>
    <n v="10461"/>
    <x v="460"/>
    <x v="1"/>
    <x v="0"/>
    <x v="2"/>
    <x v="7"/>
    <n v="27"/>
    <x v="0"/>
    <n v="1"/>
    <n v="32247"/>
    <x v="3"/>
    <n v="32247"/>
    <n v="3224.7"/>
    <n v="29022.3"/>
  </r>
  <r>
    <n v="10462"/>
    <x v="461"/>
    <x v="3"/>
    <x v="3"/>
    <x v="2"/>
    <x v="6"/>
    <n v="55"/>
    <x v="2"/>
    <n v="5"/>
    <n v="34477"/>
    <x v="0"/>
    <n v="172385"/>
    <n v="0"/>
    <n v="172385"/>
  </r>
  <r>
    <n v="10463"/>
    <x v="462"/>
    <x v="2"/>
    <x v="2"/>
    <x v="0"/>
    <x v="6"/>
    <n v="20"/>
    <x v="1"/>
    <n v="7"/>
    <n v="36134"/>
    <x v="1"/>
    <n v="252938"/>
    <n v="37940.699999999997"/>
    <n v="214997.3"/>
  </r>
  <r>
    <n v="10464"/>
    <x v="463"/>
    <x v="1"/>
    <x v="0"/>
    <x v="0"/>
    <x v="5"/>
    <n v="63"/>
    <x v="2"/>
    <n v="9"/>
    <n v="29059"/>
    <x v="4"/>
    <n v="261531"/>
    <n v="13076.55"/>
    <n v="248454.45"/>
  </r>
  <r>
    <n v="10465"/>
    <x v="464"/>
    <x v="3"/>
    <x v="2"/>
    <x v="3"/>
    <x v="6"/>
    <n v="31"/>
    <x v="0"/>
    <n v="8"/>
    <n v="36645"/>
    <x v="4"/>
    <n v="293160"/>
    <n v="14658"/>
    <n v="278502"/>
  </r>
  <r>
    <n v="10466"/>
    <x v="465"/>
    <x v="1"/>
    <x v="1"/>
    <x v="0"/>
    <x v="4"/>
    <n v="59"/>
    <x v="2"/>
    <n v="5"/>
    <n v="18767"/>
    <x v="2"/>
    <n v="93835"/>
    <n v="18767"/>
    <n v="75068"/>
  </r>
  <r>
    <n v="10467"/>
    <x v="466"/>
    <x v="1"/>
    <x v="0"/>
    <x v="1"/>
    <x v="2"/>
    <n v="51"/>
    <x v="3"/>
    <n v="5"/>
    <n v="13476"/>
    <x v="4"/>
    <n v="67380"/>
    <n v="3369"/>
    <n v="64011"/>
  </r>
  <r>
    <n v="10468"/>
    <x v="467"/>
    <x v="2"/>
    <x v="4"/>
    <x v="1"/>
    <x v="7"/>
    <n v="21"/>
    <x v="1"/>
    <n v="3"/>
    <n v="41512"/>
    <x v="4"/>
    <n v="124536"/>
    <n v="6226.8"/>
    <n v="118309.2"/>
  </r>
  <r>
    <n v="10469"/>
    <x v="468"/>
    <x v="0"/>
    <x v="2"/>
    <x v="2"/>
    <x v="3"/>
    <n v="22"/>
    <x v="1"/>
    <n v="4"/>
    <n v="45913"/>
    <x v="4"/>
    <n v="183652"/>
    <n v="9182.6"/>
    <n v="174469.4"/>
  </r>
  <r>
    <n v="10470"/>
    <x v="469"/>
    <x v="3"/>
    <x v="1"/>
    <x v="0"/>
    <x v="0"/>
    <n v="48"/>
    <x v="3"/>
    <n v="3"/>
    <n v="38101"/>
    <x v="0"/>
    <n v="114303"/>
    <n v="0"/>
    <n v="114303"/>
  </r>
  <r>
    <n v="10471"/>
    <x v="470"/>
    <x v="0"/>
    <x v="3"/>
    <x v="0"/>
    <x v="3"/>
    <n v="19"/>
    <x v="1"/>
    <n v="3"/>
    <n v="10815"/>
    <x v="2"/>
    <n v="32445"/>
    <n v="6489"/>
    <n v="25956"/>
  </r>
  <r>
    <n v="10472"/>
    <x v="471"/>
    <x v="2"/>
    <x v="1"/>
    <x v="3"/>
    <x v="6"/>
    <n v="23"/>
    <x v="1"/>
    <n v="3"/>
    <n v="3393"/>
    <x v="4"/>
    <n v="10179"/>
    <n v="508.95"/>
    <n v="9670.0499999999993"/>
  </r>
  <r>
    <n v="10473"/>
    <x v="472"/>
    <x v="1"/>
    <x v="2"/>
    <x v="3"/>
    <x v="6"/>
    <n v="42"/>
    <x v="4"/>
    <n v="6"/>
    <n v="28282"/>
    <x v="4"/>
    <n v="169692"/>
    <n v="8484.6"/>
    <n v="161207.4"/>
  </r>
  <r>
    <n v="10474"/>
    <x v="473"/>
    <x v="3"/>
    <x v="0"/>
    <x v="1"/>
    <x v="2"/>
    <n v="28"/>
    <x v="0"/>
    <n v="9"/>
    <n v="33889"/>
    <x v="3"/>
    <n v="305001"/>
    <n v="30500.1"/>
    <n v="274500.90000000002"/>
  </r>
  <r>
    <n v="10475"/>
    <x v="474"/>
    <x v="3"/>
    <x v="2"/>
    <x v="3"/>
    <x v="1"/>
    <n v="54"/>
    <x v="3"/>
    <n v="3"/>
    <n v="42337"/>
    <x v="0"/>
    <n v="127011"/>
    <n v="0"/>
    <n v="127011"/>
  </r>
  <r>
    <n v="10476"/>
    <x v="475"/>
    <x v="3"/>
    <x v="3"/>
    <x v="0"/>
    <x v="5"/>
    <n v="19"/>
    <x v="1"/>
    <n v="9"/>
    <n v="43674"/>
    <x v="0"/>
    <n v="393066"/>
    <n v="0"/>
    <n v="393066"/>
  </r>
  <r>
    <n v="10477"/>
    <x v="476"/>
    <x v="2"/>
    <x v="4"/>
    <x v="1"/>
    <x v="5"/>
    <n v="31"/>
    <x v="0"/>
    <n v="6"/>
    <n v="8525"/>
    <x v="0"/>
    <n v="51150"/>
    <n v="0"/>
    <n v="51150"/>
  </r>
  <r>
    <n v="10478"/>
    <x v="477"/>
    <x v="0"/>
    <x v="3"/>
    <x v="1"/>
    <x v="6"/>
    <n v="24"/>
    <x v="1"/>
    <n v="6"/>
    <n v="29729"/>
    <x v="0"/>
    <n v="178374"/>
    <n v="0"/>
    <n v="178374"/>
  </r>
  <r>
    <n v="10479"/>
    <x v="478"/>
    <x v="3"/>
    <x v="0"/>
    <x v="2"/>
    <x v="1"/>
    <n v="34"/>
    <x v="0"/>
    <n v="1"/>
    <n v="21011"/>
    <x v="3"/>
    <n v="21011"/>
    <n v="2101.1"/>
    <n v="18909.900000000001"/>
  </r>
  <r>
    <n v="10480"/>
    <x v="479"/>
    <x v="1"/>
    <x v="4"/>
    <x v="2"/>
    <x v="3"/>
    <n v="60"/>
    <x v="2"/>
    <n v="1"/>
    <n v="40316"/>
    <x v="4"/>
    <n v="40316"/>
    <n v="2015.8"/>
    <n v="38300.199999999997"/>
  </r>
  <r>
    <n v="10481"/>
    <x v="480"/>
    <x v="0"/>
    <x v="4"/>
    <x v="1"/>
    <x v="3"/>
    <n v="63"/>
    <x v="2"/>
    <n v="1"/>
    <n v="20566"/>
    <x v="3"/>
    <n v="20566"/>
    <n v="2056.6"/>
    <n v="18509.400000000001"/>
  </r>
  <r>
    <n v="10482"/>
    <x v="481"/>
    <x v="0"/>
    <x v="1"/>
    <x v="3"/>
    <x v="0"/>
    <n v="51"/>
    <x v="3"/>
    <n v="6"/>
    <n v="11006"/>
    <x v="0"/>
    <n v="66036"/>
    <n v="0"/>
    <n v="66036"/>
  </r>
  <r>
    <n v="10483"/>
    <x v="482"/>
    <x v="0"/>
    <x v="2"/>
    <x v="2"/>
    <x v="2"/>
    <n v="47"/>
    <x v="3"/>
    <n v="6"/>
    <n v="48773"/>
    <x v="1"/>
    <n v="292638"/>
    <n v="43895.7"/>
    <n v="248742.3"/>
  </r>
  <r>
    <n v="10484"/>
    <x v="483"/>
    <x v="0"/>
    <x v="0"/>
    <x v="0"/>
    <x v="3"/>
    <n v="23"/>
    <x v="1"/>
    <n v="3"/>
    <n v="22071"/>
    <x v="0"/>
    <n v="66213"/>
    <n v="0"/>
    <n v="66213"/>
  </r>
  <r>
    <n v="10485"/>
    <x v="484"/>
    <x v="2"/>
    <x v="4"/>
    <x v="3"/>
    <x v="1"/>
    <n v="43"/>
    <x v="4"/>
    <n v="2"/>
    <n v="9538"/>
    <x v="4"/>
    <n v="19076"/>
    <n v="953.8"/>
    <n v="18122.2"/>
  </r>
  <r>
    <n v="10486"/>
    <x v="485"/>
    <x v="0"/>
    <x v="2"/>
    <x v="3"/>
    <x v="1"/>
    <n v="41"/>
    <x v="4"/>
    <n v="7"/>
    <n v="39436"/>
    <x v="3"/>
    <n v="276052"/>
    <n v="27605.200000000001"/>
    <n v="248446.8"/>
  </r>
  <r>
    <n v="10487"/>
    <x v="486"/>
    <x v="3"/>
    <x v="2"/>
    <x v="1"/>
    <x v="3"/>
    <n v="47"/>
    <x v="3"/>
    <n v="1"/>
    <n v="37878"/>
    <x v="2"/>
    <n v="37878"/>
    <n v="7575.6"/>
    <n v="30302.400000000001"/>
  </r>
  <r>
    <n v="10488"/>
    <x v="487"/>
    <x v="0"/>
    <x v="2"/>
    <x v="0"/>
    <x v="4"/>
    <n v="49"/>
    <x v="3"/>
    <n v="5"/>
    <n v="31986"/>
    <x v="1"/>
    <n v="159930"/>
    <n v="23989.5"/>
    <n v="135940.5"/>
  </r>
  <r>
    <n v="10489"/>
    <x v="488"/>
    <x v="2"/>
    <x v="0"/>
    <x v="1"/>
    <x v="2"/>
    <n v="60"/>
    <x v="2"/>
    <n v="3"/>
    <n v="12253"/>
    <x v="2"/>
    <n v="36759"/>
    <n v="7351.8"/>
    <n v="29407.200000000001"/>
  </r>
  <r>
    <n v="10490"/>
    <x v="489"/>
    <x v="2"/>
    <x v="3"/>
    <x v="0"/>
    <x v="4"/>
    <n v="23"/>
    <x v="1"/>
    <n v="9"/>
    <n v="25738"/>
    <x v="4"/>
    <n v="231642"/>
    <n v="11582.1"/>
    <n v="220059.9"/>
  </r>
  <r>
    <n v="10491"/>
    <x v="490"/>
    <x v="3"/>
    <x v="2"/>
    <x v="1"/>
    <x v="5"/>
    <n v="40"/>
    <x v="4"/>
    <n v="1"/>
    <n v="8995"/>
    <x v="4"/>
    <n v="8995"/>
    <n v="449.75"/>
    <n v="8545.25"/>
  </r>
  <r>
    <n v="10492"/>
    <x v="491"/>
    <x v="3"/>
    <x v="1"/>
    <x v="3"/>
    <x v="3"/>
    <n v="58"/>
    <x v="2"/>
    <n v="8"/>
    <n v="10858"/>
    <x v="4"/>
    <n v="86864"/>
    <n v="4343.2"/>
    <n v="82520.800000000003"/>
  </r>
  <r>
    <n v="10493"/>
    <x v="492"/>
    <x v="1"/>
    <x v="4"/>
    <x v="2"/>
    <x v="0"/>
    <n v="59"/>
    <x v="2"/>
    <n v="1"/>
    <n v="22258"/>
    <x v="1"/>
    <n v="22258"/>
    <n v="3338.7"/>
    <n v="18919.3"/>
  </r>
  <r>
    <n v="10494"/>
    <x v="493"/>
    <x v="0"/>
    <x v="1"/>
    <x v="3"/>
    <x v="7"/>
    <n v="35"/>
    <x v="4"/>
    <n v="9"/>
    <n v="43919"/>
    <x v="1"/>
    <n v="395271"/>
    <n v="59290.65"/>
    <n v="335980.35"/>
  </r>
  <r>
    <n v="10495"/>
    <x v="494"/>
    <x v="2"/>
    <x v="2"/>
    <x v="3"/>
    <x v="5"/>
    <n v="64"/>
    <x v="2"/>
    <n v="2"/>
    <n v="42291"/>
    <x v="0"/>
    <n v="84582"/>
    <n v="0"/>
    <n v="84582"/>
  </r>
  <r>
    <n v="10496"/>
    <x v="495"/>
    <x v="2"/>
    <x v="3"/>
    <x v="3"/>
    <x v="1"/>
    <n v="57"/>
    <x v="2"/>
    <n v="9"/>
    <n v="44506"/>
    <x v="3"/>
    <n v="400554"/>
    <n v="40055.4"/>
    <n v="360498.6"/>
  </r>
  <r>
    <n v="10497"/>
    <x v="496"/>
    <x v="2"/>
    <x v="4"/>
    <x v="0"/>
    <x v="6"/>
    <n v="37"/>
    <x v="4"/>
    <n v="5"/>
    <n v="34208"/>
    <x v="1"/>
    <n v="171040"/>
    <n v="25656"/>
    <n v="145384"/>
  </r>
  <r>
    <n v="10498"/>
    <x v="497"/>
    <x v="3"/>
    <x v="2"/>
    <x v="2"/>
    <x v="6"/>
    <n v="33"/>
    <x v="0"/>
    <n v="6"/>
    <n v="4932"/>
    <x v="2"/>
    <n v="29592"/>
    <n v="5918.4"/>
    <n v="23673.599999999999"/>
  </r>
  <r>
    <n v="10499"/>
    <x v="498"/>
    <x v="1"/>
    <x v="4"/>
    <x v="1"/>
    <x v="6"/>
    <n v="29"/>
    <x v="0"/>
    <n v="6"/>
    <n v="29050"/>
    <x v="4"/>
    <n v="174300"/>
    <n v="8715"/>
    <n v="165585"/>
  </r>
  <r>
    <n v="10500"/>
    <x v="499"/>
    <x v="3"/>
    <x v="3"/>
    <x v="3"/>
    <x v="5"/>
    <n v="47"/>
    <x v="3"/>
    <n v="3"/>
    <n v="43796"/>
    <x v="4"/>
    <n v="131388"/>
    <n v="6569.4"/>
    <n v="124818.6"/>
  </r>
  <r>
    <n v="10501"/>
    <x v="500"/>
    <x v="2"/>
    <x v="1"/>
    <x v="0"/>
    <x v="7"/>
    <n v="62"/>
    <x v="2"/>
    <n v="9"/>
    <n v="35257"/>
    <x v="1"/>
    <n v="317313"/>
    <n v="47596.95"/>
    <n v="269716.05"/>
  </r>
  <r>
    <n v="10502"/>
    <x v="501"/>
    <x v="0"/>
    <x v="2"/>
    <x v="2"/>
    <x v="1"/>
    <n v="60"/>
    <x v="2"/>
    <n v="3"/>
    <n v="15787"/>
    <x v="1"/>
    <n v="47361"/>
    <n v="7104.15"/>
    <n v="40256.85"/>
  </r>
  <r>
    <n v="10503"/>
    <x v="502"/>
    <x v="1"/>
    <x v="4"/>
    <x v="1"/>
    <x v="2"/>
    <n v="47"/>
    <x v="3"/>
    <n v="2"/>
    <n v="22495"/>
    <x v="1"/>
    <n v="44990"/>
    <n v="6748.5"/>
    <n v="38241.5"/>
  </r>
  <r>
    <n v="10504"/>
    <x v="503"/>
    <x v="0"/>
    <x v="0"/>
    <x v="1"/>
    <x v="5"/>
    <n v="43"/>
    <x v="4"/>
    <n v="3"/>
    <n v="15427"/>
    <x v="1"/>
    <n v="46281"/>
    <n v="6942.15"/>
    <n v="39338.85"/>
  </r>
  <r>
    <n v="10505"/>
    <x v="504"/>
    <x v="0"/>
    <x v="3"/>
    <x v="2"/>
    <x v="5"/>
    <n v="33"/>
    <x v="0"/>
    <n v="6"/>
    <n v="23433"/>
    <x v="0"/>
    <n v="140598"/>
    <n v="0"/>
    <n v="140598"/>
  </r>
  <r>
    <n v="10506"/>
    <x v="505"/>
    <x v="3"/>
    <x v="1"/>
    <x v="3"/>
    <x v="7"/>
    <n v="54"/>
    <x v="3"/>
    <n v="6"/>
    <n v="24376"/>
    <x v="4"/>
    <n v="146256"/>
    <n v="7312.8"/>
    <n v="138943.20000000001"/>
  </r>
  <r>
    <n v="10507"/>
    <x v="506"/>
    <x v="0"/>
    <x v="0"/>
    <x v="2"/>
    <x v="1"/>
    <n v="22"/>
    <x v="1"/>
    <n v="1"/>
    <n v="21589"/>
    <x v="2"/>
    <n v="21589"/>
    <n v="4317.8"/>
    <n v="17271.2"/>
  </r>
  <r>
    <n v="10508"/>
    <x v="507"/>
    <x v="0"/>
    <x v="3"/>
    <x v="3"/>
    <x v="1"/>
    <n v="36"/>
    <x v="4"/>
    <n v="5"/>
    <n v="29136"/>
    <x v="1"/>
    <n v="145680"/>
    <n v="21852"/>
    <n v="123828"/>
  </r>
  <r>
    <n v="10509"/>
    <x v="508"/>
    <x v="2"/>
    <x v="4"/>
    <x v="2"/>
    <x v="1"/>
    <n v="48"/>
    <x v="3"/>
    <n v="9"/>
    <n v="40764"/>
    <x v="2"/>
    <n v="366876"/>
    <n v="73375.199999999997"/>
    <n v="293500.79999999999"/>
  </r>
  <r>
    <n v="10510"/>
    <x v="509"/>
    <x v="0"/>
    <x v="2"/>
    <x v="2"/>
    <x v="1"/>
    <n v="29"/>
    <x v="0"/>
    <n v="4"/>
    <n v="17617"/>
    <x v="1"/>
    <n v="70468"/>
    <n v="10570.2"/>
    <n v="59897.8"/>
  </r>
  <r>
    <n v="10511"/>
    <x v="510"/>
    <x v="3"/>
    <x v="4"/>
    <x v="2"/>
    <x v="3"/>
    <n v="60"/>
    <x v="2"/>
    <n v="4"/>
    <n v="23160"/>
    <x v="2"/>
    <n v="92640"/>
    <n v="18528"/>
    <n v="74112"/>
  </r>
  <r>
    <n v="10512"/>
    <x v="511"/>
    <x v="2"/>
    <x v="0"/>
    <x v="2"/>
    <x v="4"/>
    <n v="40"/>
    <x v="4"/>
    <n v="2"/>
    <n v="44004"/>
    <x v="1"/>
    <n v="88008"/>
    <n v="13201.2"/>
    <n v="74806.8"/>
  </r>
  <r>
    <n v="10513"/>
    <x v="512"/>
    <x v="1"/>
    <x v="3"/>
    <x v="1"/>
    <x v="7"/>
    <n v="38"/>
    <x v="4"/>
    <n v="4"/>
    <n v="28146"/>
    <x v="4"/>
    <n v="112584"/>
    <n v="5629.2"/>
    <n v="106954.8"/>
  </r>
  <r>
    <n v="10514"/>
    <x v="513"/>
    <x v="2"/>
    <x v="0"/>
    <x v="0"/>
    <x v="7"/>
    <n v="46"/>
    <x v="3"/>
    <n v="7"/>
    <n v="46032"/>
    <x v="4"/>
    <n v="322224"/>
    <n v="16111.2"/>
    <n v="306112.8"/>
  </r>
  <r>
    <n v="10515"/>
    <x v="514"/>
    <x v="2"/>
    <x v="1"/>
    <x v="3"/>
    <x v="6"/>
    <n v="50"/>
    <x v="3"/>
    <n v="6"/>
    <n v="23105"/>
    <x v="4"/>
    <n v="138630"/>
    <n v="6931.5"/>
    <n v="131698.5"/>
  </r>
  <r>
    <n v="10516"/>
    <x v="515"/>
    <x v="3"/>
    <x v="1"/>
    <x v="3"/>
    <x v="2"/>
    <n v="40"/>
    <x v="4"/>
    <n v="1"/>
    <n v="48254"/>
    <x v="0"/>
    <n v="48254"/>
    <n v="0"/>
    <n v="48254"/>
  </r>
  <r>
    <n v="10517"/>
    <x v="516"/>
    <x v="1"/>
    <x v="4"/>
    <x v="3"/>
    <x v="7"/>
    <n v="22"/>
    <x v="1"/>
    <n v="1"/>
    <n v="23339"/>
    <x v="1"/>
    <n v="23339"/>
    <n v="3500.85"/>
    <n v="19838.150000000001"/>
  </r>
  <r>
    <n v="10518"/>
    <x v="517"/>
    <x v="0"/>
    <x v="1"/>
    <x v="3"/>
    <x v="6"/>
    <n v="20"/>
    <x v="1"/>
    <n v="4"/>
    <n v="15691"/>
    <x v="3"/>
    <n v="62764"/>
    <n v="6276.4"/>
    <n v="56487.6"/>
  </r>
  <r>
    <n v="10519"/>
    <x v="518"/>
    <x v="0"/>
    <x v="3"/>
    <x v="2"/>
    <x v="1"/>
    <n v="40"/>
    <x v="4"/>
    <n v="6"/>
    <n v="45143"/>
    <x v="1"/>
    <n v="270858"/>
    <n v="40628.699999999997"/>
    <n v="230229.3"/>
  </r>
  <r>
    <n v="10520"/>
    <x v="519"/>
    <x v="0"/>
    <x v="3"/>
    <x v="1"/>
    <x v="0"/>
    <n v="20"/>
    <x v="1"/>
    <n v="1"/>
    <n v="45778"/>
    <x v="3"/>
    <n v="45778"/>
    <n v="4577.8"/>
    <n v="41200.199999999997"/>
  </r>
  <r>
    <n v="10521"/>
    <x v="520"/>
    <x v="2"/>
    <x v="3"/>
    <x v="0"/>
    <x v="3"/>
    <n v="27"/>
    <x v="0"/>
    <n v="6"/>
    <n v="9086"/>
    <x v="2"/>
    <n v="54516"/>
    <n v="10903.2"/>
    <n v="43612.800000000003"/>
  </r>
  <r>
    <n v="10522"/>
    <x v="521"/>
    <x v="2"/>
    <x v="0"/>
    <x v="2"/>
    <x v="2"/>
    <n v="19"/>
    <x v="1"/>
    <n v="9"/>
    <n v="16326"/>
    <x v="4"/>
    <n v="146934"/>
    <n v="7346.7"/>
    <n v="139587.29999999999"/>
  </r>
  <r>
    <n v="10523"/>
    <x v="522"/>
    <x v="2"/>
    <x v="2"/>
    <x v="0"/>
    <x v="1"/>
    <n v="51"/>
    <x v="3"/>
    <n v="1"/>
    <n v="43815"/>
    <x v="1"/>
    <n v="43815"/>
    <n v="6572.25"/>
    <n v="37242.75"/>
  </r>
  <r>
    <n v="10524"/>
    <x v="523"/>
    <x v="3"/>
    <x v="2"/>
    <x v="1"/>
    <x v="6"/>
    <n v="34"/>
    <x v="0"/>
    <n v="4"/>
    <n v="15475"/>
    <x v="2"/>
    <n v="61900"/>
    <n v="12380"/>
    <n v="49520"/>
  </r>
  <r>
    <n v="10525"/>
    <x v="524"/>
    <x v="0"/>
    <x v="3"/>
    <x v="0"/>
    <x v="2"/>
    <n v="25"/>
    <x v="0"/>
    <n v="8"/>
    <n v="45105"/>
    <x v="2"/>
    <n v="360840"/>
    <n v="72168"/>
    <n v="288672"/>
  </r>
  <r>
    <n v="10526"/>
    <x v="525"/>
    <x v="3"/>
    <x v="2"/>
    <x v="0"/>
    <x v="0"/>
    <n v="23"/>
    <x v="1"/>
    <n v="6"/>
    <n v="41566"/>
    <x v="4"/>
    <n v="249396"/>
    <n v="12469.8"/>
    <n v="236926.2"/>
  </r>
  <r>
    <n v="10527"/>
    <x v="526"/>
    <x v="1"/>
    <x v="0"/>
    <x v="2"/>
    <x v="0"/>
    <n v="23"/>
    <x v="1"/>
    <n v="5"/>
    <n v="6229"/>
    <x v="1"/>
    <n v="31145"/>
    <n v="4671.75"/>
    <n v="26473.25"/>
  </r>
  <r>
    <n v="10528"/>
    <x v="527"/>
    <x v="1"/>
    <x v="2"/>
    <x v="1"/>
    <x v="1"/>
    <n v="55"/>
    <x v="2"/>
    <n v="5"/>
    <n v="5500"/>
    <x v="3"/>
    <n v="27500"/>
    <n v="2750"/>
    <n v="24750"/>
  </r>
  <r>
    <n v="10529"/>
    <x v="528"/>
    <x v="3"/>
    <x v="4"/>
    <x v="2"/>
    <x v="3"/>
    <n v="60"/>
    <x v="2"/>
    <n v="8"/>
    <n v="35710"/>
    <x v="2"/>
    <n v="285680"/>
    <n v="57136"/>
    <n v="228544"/>
  </r>
  <r>
    <n v="10530"/>
    <x v="529"/>
    <x v="2"/>
    <x v="4"/>
    <x v="1"/>
    <x v="4"/>
    <n v="33"/>
    <x v="0"/>
    <n v="4"/>
    <n v="21020"/>
    <x v="2"/>
    <n v="84080"/>
    <n v="16816"/>
    <n v="67264"/>
  </r>
  <r>
    <n v="10531"/>
    <x v="530"/>
    <x v="0"/>
    <x v="3"/>
    <x v="3"/>
    <x v="7"/>
    <n v="53"/>
    <x v="3"/>
    <n v="6"/>
    <n v="38605"/>
    <x v="4"/>
    <n v="231630"/>
    <n v="11581.5"/>
    <n v="220048.5"/>
  </r>
  <r>
    <n v="10532"/>
    <x v="531"/>
    <x v="1"/>
    <x v="3"/>
    <x v="3"/>
    <x v="3"/>
    <n v="64"/>
    <x v="2"/>
    <n v="2"/>
    <n v="16970"/>
    <x v="2"/>
    <n v="33940"/>
    <n v="6788"/>
    <n v="27152"/>
  </r>
  <r>
    <n v="10533"/>
    <x v="532"/>
    <x v="2"/>
    <x v="0"/>
    <x v="1"/>
    <x v="6"/>
    <n v="35"/>
    <x v="4"/>
    <n v="6"/>
    <n v="2634"/>
    <x v="3"/>
    <n v="15804"/>
    <n v="1580.4"/>
    <n v="14223.6"/>
  </r>
  <r>
    <n v="10534"/>
    <x v="533"/>
    <x v="1"/>
    <x v="3"/>
    <x v="2"/>
    <x v="5"/>
    <n v="41"/>
    <x v="4"/>
    <n v="1"/>
    <n v="31185"/>
    <x v="2"/>
    <n v="31185"/>
    <n v="6237"/>
    <n v="24948"/>
  </r>
  <r>
    <n v="10535"/>
    <x v="534"/>
    <x v="0"/>
    <x v="4"/>
    <x v="1"/>
    <x v="6"/>
    <n v="38"/>
    <x v="4"/>
    <n v="8"/>
    <n v="38322"/>
    <x v="1"/>
    <n v="306576"/>
    <n v="45986.400000000001"/>
    <n v="260589.6"/>
  </r>
  <r>
    <n v="10536"/>
    <x v="535"/>
    <x v="3"/>
    <x v="3"/>
    <x v="2"/>
    <x v="0"/>
    <n v="22"/>
    <x v="1"/>
    <n v="7"/>
    <n v="24421"/>
    <x v="3"/>
    <n v="170947"/>
    <n v="17094.7"/>
    <n v="153852.29999999999"/>
  </r>
  <r>
    <n v="10537"/>
    <x v="536"/>
    <x v="3"/>
    <x v="3"/>
    <x v="3"/>
    <x v="0"/>
    <n v="41"/>
    <x v="4"/>
    <n v="3"/>
    <n v="9420"/>
    <x v="2"/>
    <n v="28260"/>
    <n v="5652"/>
    <n v="22608"/>
  </r>
  <r>
    <n v="10538"/>
    <x v="537"/>
    <x v="2"/>
    <x v="4"/>
    <x v="1"/>
    <x v="4"/>
    <n v="43"/>
    <x v="4"/>
    <n v="9"/>
    <n v="21170"/>
    <x v="3"/>
    <n v="190530"/>
    <n v="19053"/>
    <n v="171477"/>
  </r>
  <r>
    <n v="10539"/>
    <x v="538"/>
    <x v="3"/>
    <x v="1"/>
    <x v="0"/>
    <x v="2"/>
    <n v="64"/>
    <x v="2"/>
    <n v="6"/>
    <n v="9700"/>
    <x v="0"/>
    <n v="58200"/>
    <n v="0"/>
    <n v="58200"/>
  </r>
  <r>
    <n v="10540"/>
    <x v="539"/>
    <x v="1"/>
    <x v="4"/>
    <x v="2"/>
    <x v="2"/>
    <n v="49"/>
    <x v="3"/>
    <n v="6"/>
    <n v="17952"/>
    <x v="2"/>
    <n v="107712"/>
    <n v="21542.400000000001"/>
    <n v="86169.600000000006"/>
  </r>
  <r>
    <n v="10541"/>
    <x v="540"/>
    <x v="3"/>
    <x v="1"/>
    <x v="0"/>
    <x v="0"/>
    <n v="43"/>
    <x v="4"/>
    <n v="4"/>
    <n v="15534"/>
    <x v="3"/>
    <n v="62136"/>
    <n v="6213.6"/>
    <n v="55922.400000000001"/>
  </r>
  <r>
    <n v="10542"/>
    <x v="541"/>
    <x v="3"/>
    <x v="1"/>
    <x v="0"/>
    <x v="2"/>
    <n v="36"/>
    <x v="4"/>
    <n v="4"/>
    <n v="21400"/>
    <x v="0"/>
    <n v="85600"/>
    <n v="0"/>
    <n v="85600"/>
  </r>
  <r>
    <n v="10543"/>
    <x v="542"/>
    <x v="3"/>
    <x v="1"/>
    <x v="3"/>
    <x v="5"/>
    <n v="29"/>
    <x v="0"/>
    <n v="7"/>
    <n v="22203"/>
    <x v="0"/>
    <n v="155421"/>
    <n v="0"/>
    <n v="155421"/>
  </r>
  <r>
    <n v="10544"/>
    <x v="543"/>
    <x v="2"/>
    <x v="3"/>
    <x v="2"/>
    <x v="4"/>
    <n v="63"/>
    <x v="2"/>
    <n v="1"/>
    <n v="30223"/>
    <x v="4"/>
    <n v="30223"/>
    <n v="1511.15"/>
    <n v="28711.85"/>
  </r>
  <r>
    <n v="10545"/>
    <x v="544"/>
    <x v="0"/>
    <x v="3"/>
    <x v="3"/>
    <x v="7"/>
    <n v="24"/>
    <x v="1"/>
    <n v="5"/>
    <n v="12514"/>
    <x v="2"/>
    <n v="62570"/>
    <n v="12514"/>
    <n v="50056"/>
  </r>
  <r>
    <n v="10546"/>
    <x v="545"/>
    <x v="3"/>
    <x v="0"/>
    <x v="1"/>
    <x v="7"/>
    <n v="38"/>
    <x v="4"/>
    <n v="4"/>
    <n v="39168"/>
    <x v="2"/>
    <n v="156672"/>
    <n v="31334.400000000001"/>
    <n v="125337.60000000001"/>
  </r>
  <r>
    <n v="10547"/>
    <x v="546"/>
    <x v="1"/>
    <x v="2"/>
    <x v="3"/>
    <x v="2"/>
    <n v="23"/>
    <x v="1"/>
    <n v="8"/>
    <n v="8895"/>
    <x v="4"/>
    <n v="71160"/>
    <n v="3558"/>
    <n v="67602"/>
  </r>
  <r>
    <n v="10548"/>
    <x v="547"/>
    <x v="2"/>
    <x v="1"/>
    <x v="0"/>
    <x v="1"/>
    <n v="21"/>
    <x v="1"/>
    <n v="9"/>
    <n v="41328"/>
    <x v="0"/>
    <n v="371952"/>
    <n v="0"/>
    <n v="371952"/>
  </r>
  <r>
    <n v="10549"/>
    <x v="548"/>
    <x v="2"/>
    <x v="4"/>
    <x v="0"/>
    <x v="5"/>
    <n v="57"/>
    <x v="2"/>
    <n v="6"/>
    <n v="10836"/>
    <x v="4"/>
    <n v="65016"/>
    <n v="3250.8"/>
    <n v="61765.2"/>
  </r>
  <r>
    <n v="10550"/>
    <x v="549"/>
    <x v="0"/>
    <x v="1"/>
    <x v="2"/>
    <x v="1"/>
    <n v="29"/>
    <x v="0"/>
    <n v="3"/>
    <n v="46065"/>
    <x v="1"/>
    <n v="138195"/>
    <n v="20729.25"/>
    <n v="117465.75"/>
  </r>
  <r>
    <n v="10551"/>
    <x v="550"/>
    <x v="0"/>
    <x v="3"/>
    <x v="1"/>
    <x v="6"/>
    <n v="62"/>
    <x v="2"/>
    <n v="6"/>
    <n v="19564"/>
    <x v="0"/>
    <n v="117384"/>
    <n v="0"/>
    <n v="117384"/>
  </r>
  <r>
    <n v="10552"/>
    <x v="551"/>
    <x v="0"/>
    <x v="3"/>
    <x v="3"/>
    <x v="4"/>
    <n v="62"/>
    <x v="2"/>
    <n v="2"/>
    <n v="16297"/>
    <x v="0"/>
    <n v="32594"/>
    <n v="0"/>
    <n v="32594"/>
  </r>
  <r>
    <n v="10553"/>
    <x v="552"/>
    <x v="2"/>
    <x v="2"/>
    <x v="3"/>
    <x v="2"/>
    <n v="44"/>
    <x v="4"/>
    <n v="6"/>
    <n v="14941"/>
    <x v="0"/>
    <n v="89646"/>
    <n v="0"/>
    <n v="89646"/>
  </r>
  <r>
    <n v="10554"/>
    <x v="553"/>
    <x v="3"/>
    <x v="1"/>
    <x v="1"/>
    <x v="7"/>
    <n v="39"/>
    <x v="4"/>
    <n v="7"/>
    <n v="8318"/>
    <x v="2"/>
    <n v="58226"/>
    <n v="11645.2"/>
    <n v="46580.800000000003"/>
  </r>
  <r>
    <n v="10555"/>
    <x v="554"/>
    <x v="1"/>
    <x v="1"/>
    <x v="1"/>
    <x v="2"/>
    <n v="62"/>
    <x v="2"/>
    <n v="7"/>
    <n v="37330"/>
    <x v="1"/>
    <n v="261310"/>
    <n v="39196.5"/>
    <n v="222113.5"/>
  </r>
  <r>
    <n v="10556"/>
    <x v="555"/>
    <x v="3"/>
    <x v="1"/>
    <x v="0"/>
    <x v="2"/>
    <n v="34"/>
    <x v="0"/>
    <n v="1"/>
    <n v="45160"/>
    <x v="4"/>
    <n v="45160"/>
    <n v="2258"/>
    <n v="42902"/>
  </r>
  <r>
    <n v="10557"/>
    <x v="556"/>
    <x v="3"/>
    <x v="2"/>
    <x v="0"/>
    <x v="2"/>
    <n v="54"/>
    <x v="3"/>
    <n v="9"/>
    <n v="46982"/>
    <x v="4"/>
    <n v="422838"/>
    <n v="21141.9"/>
    <n v="401696.1"/>
  </r>
  <r>
    <n v="10558"/>
    <x v="557"/>
    <x v="2"/>
    <x v="4"/>
    <x v="1"/>
    <x v="6"/>
    <n v="55"/>
    <x v="2"/>
    <n v="3"/>
    <n v="29599"/>
    <x v="0"/>
    <n v="88797"/>
    <n v="0"/>
    <n v="88797"/>
  </r>
  <r>
    <n v="10559"/>
    <x v="558"/>
    <x v="3"/>
    <x v="4"/>
    <x v="0"/>
    <x v="1"/>
    <n v="64"/>
    <x v="2"/>
    <n v="9"/>
    <n v="41996"/>
    <x v="4"/>
    <n v="377964"/>
    <n v="18898.2"/>
    <n v="359065.8"/>
  </r>
  <r>
    <n v="10560"/>
    <x v="559"/>
    <x v="2"/>
    <x v="0"/>
    <x v="2"/>
    <x v="1"/>
    <n v="29"/>
    <x v="0"/>
    <n v="3"/>
    <n v="44663"/>
    <x v="3"/>
    <n v="133989"/>
    <n v="13398.9"/>
    <n v="120590.1"/>
  </r>
  <r>
    <n v="10561"/>
    <x v="560"/>
    <x v="1"/>
    <x v="2"/>
    <x v="3"/>
    <x v="3"/>
    <n v="18"/>
    <x v="1"/>
    <n v="9"/>
    <n v="8872"/>
    <x v="4"/>
    <n v="79848"/>
    <n v="3992.4"/>
    <n v="75855.600000000006"/>
  </r>
  <r>
    <n v="10562"/>
    <x v="561"/>
    <x v="1"/>
    <x v="1"/>
    <x v="2"/>
    <x v="2"/>
    <n v="53"/>
    <x v="3"/>
    <n v="9"/>
    <n v="35455"/>
    <x v="1"/>
    <n v="319095"/>
    <n v="47864.25"/>
    <n v="271230.75"/>
  </r>
  <r>
    <n v="10563"/>
    <x v="562"/>
    <x v="1"/>
    <x v="1"/>
    <x v="3"/>
    <x v="1"/>
    <n v="37"/>
    <x v="4"/>
    <n v="2"/>
    <n v="45788"/>
    <x v="0"/>
    <n v="91576"/>
    <n v="0"/>
    <n v="91576"/>
  </r>
  <r>
    <n v="10564"/>
    <x v="563"/>
    <x v="1"/>
    <x v="0"/>
    <x v="2"/>
    <x v="0"/>
    <n v="40"/>
    <x v="4"/>
    <n v="5"/>
    <n v="8379"/>
    <x v="1"/>
    <n v="41895"/>
    <n v="6284.25"/>
    <n v="35610.75"/>
  </r>
  <r>
    <n v="10565"/>
    <x v="564"/>
    <x v="1"/>
    <x v="0"/>
    <x v="3"/>
    <x v="1"/>
    <n v="30"/>
    <x v="0"/>
    <n v="5"/>
    <n v="8297"/>
    <x v="0"/>
    <n v="41485"/>
    <n v="0"/>
    <n v="41485"/>
  </r>
  <r>
    <n v="10566"/>
    <x v="565"/>
    <x v="2"/>
    <x v="4"/>
    <x v="0"/>
    <x v="5"/>
    <n v="28"/>
    <x v="0"/>
    <n v="7"/>
    <n v="33508"/>
    <x v="0"/>
    <n v="234556"/>
    <n v="0"/>
    <n v="234556"/>
  </r>
  <r>
    <n v="10567"/>
    <x v="566"/>
    <x v="3"/>
    <x v="3"/>
    <x v="0"/>
    <x v="7"/>
    <n v="25"/>
    <x v="0"/>
    <n v="2"/>
    <n v="33078"/>
    <x v="0"/>
    <n v="66156"/>
    <n v="0"/>
    <n v="66156"/>
  </r>
  <r>
    <n v="10568"/>
    <x v="567"/>
    <x v="1"/>
    <x v="1"/>
    <x v="0"/>
    <x v="4"/>
    <n v="54"/>
    <x v="3"/>
    <n v="4"/>
    <n v="30352"/>
    <x v="0"/>
    <n v="121408"/>
    <n v="0"/>
    <n v="121408"/>
  </r>
  <r>
    <n v="10569"/>
    <x v="568"/>
    <x v="0"/>
    <x v="3"/>
    <x v="2"/>
    <x v="4"/>
    <n v="49"/>
    <x v="3"/>
    <n v="5"/>
    <n v="1945"/>
    <x v="3"/>
    <n v="9725"/>
    <n v="972.5"/>
    <n v="8752.5"/>
  </r>
  <r>
    <n v="10570"/>
    <x v="569"/>
    <x v="3"/>
    <x v="0"/>
    <x v="2"/>
    <x v="3"/>
    <n v="41"/>
    <x v="4"/>
    <n v="8"/>
    <n v="12058"/>
    <x v="0"/>
    <n v="96464"/>
    <n v="0"/>
    <n v="96464"/>
  </r>
  <r>
    <n v="10571"/>
    <x v="570"/>
    <x v="3"/>
    <x v="4"/>
    <x v="2"/>
    <x v="0"/>
    <n v="46"/>
    <x v="3"/>
    <n v="7"/>
    <n v="36571"/>
    <x v="2"/>
    <n v="255997"/>
    <n v="51199.4"/>
    <n v="204797.6"/>
  </r>
  <r>
    <n v="10572"/>
    <x v="571"/>
    <x v="2"/>
    <x v="4"/>
    <x v="3"/>
    <x v="3"/>
    <n v="18"/>
    <x v="1"/>
    <n v="9"/>
    <n v="39207"/>
    <x v="4"/>
    <n v="352863"/>
    <n v="17643.150000000001"/>
    <n v="335219.84999999998"/>
  </r>
  <r>
    <n v="10573"/>
    <x v="572"/>
    <x v="3"/>
    <x v="2"/>
    <x v="2"/>
    <x v="5"/>
    <n v="57"/>
    <x v="2"/>
    <n v="8"/>
    <n v="17617"/>
    <x v="2"/>
    <n v="140936"/>
    <n v="28187.200000000001"/>
    <n v="112748.8"/>
  </r>
  <r>
    <n v="10574"/>
    <x v="573"/>
    <x v="0"/>
    <x v="3"/>
    <x v="0"/>
    <x v="2"/>
    <n v="50"/>
    <x v="3"/>
    <n v="7"/>
    <n v="3577"/>
    <x v="1"/>
    <n v="25039"/>
    <n v="3755.85"/>
    <n v="21283.15"/>
  </r>
  <r>
    <n v="10575"/>
    <x v="574"/>
    <x v="3"/>
    <x v="0"/>
    <x v="2"/>
    <x v="7"/>
    <n v="20"/>
    <x v="1"/>
    <n v="8"/>
    <n v="779"/>
    <x v="3"/>
    <n v="6232"/>
    <n v="623.20000000000005"/>
    <n v="5608.8"/>
  </r>
  <r>
    <n v="10576"/>
    <x v="575"/>
    <x v="2"/>
    <x v="3"/>
    <x v="0"/>
    <x v="7"/>
    <n v="64"/>
    <x v="2"/>
    <n v="3"/>
    <n v="5273"/>
    <x v="4"/>
    <n v="15819"/>
    <n v="790.95"/>
    <n v="15028.05"/>
  </r>
  <r>
    <n v="10577"/>
    <x v="576"/>
    <x v="3"/>
    <x v="1"/>
    <x v="2"/>
    <x v="5"/>
    <n v="33"/>
    <x v="0"/>
    <n v="7"/>
    <n v="8483"/>
    <x v="4"/>
    <n v="59381"/>
    <n v="2969.05"/>
    <n v="56411.95"/>
  </r>
  <r>
    <n v="10578"/>
    <x v="577"/>
    <x v="1"/>
    <x v="2"/>
    <x v="3"/>
    <x v="3"/>
    <n v="63"/>
    <x v="2"/>
    <n v="7"/>
    <n v="11075"/>
    <x v="1"/>
    <n v="77525"/>
    <n v="11628.75"/>
    <n v="65896.25"/>
  </r>
  <r>
    <n v="10579"/>
    <x v="578"/>
    <x v="2"/>
    <x v="3"/>
    <x v="2"/>
    <x v="7"/>
    <n v="55"/>
    <x v="2"/>
    <n v="4"/>
    <n v="22347"/>
    <x v="3"/>
    <n v="89388"/>
    <n v="8938.7999999999993"/>
    <n v="80449.2"/>
  </r>
  <r>
    <n v="10580"/>
    <x v="579"/>
    <x v="0"/>
    <x v="1"/>
    <x v="0"/>
    <x v="3"/>
    <n v="44"/>
    <x v="4"/>
    <n v="8"/>
    <n v="32939"/>
    <x v="0"/>
    <n v="263512"/>
    <n v="0"/>
    <n v="263512"/>
  </r>
  <r>
    <n v="10581"/>
    <x v="580"/>
    <x v="2"/>
    <x v="0"/>
    <x v="3"/>
    <x v="1"/>
    <n v="42"/>
    <x v="4"/>
    <n v="5"/>
    <n v="15408"/>
    <x v="0"/>
    <n v="77040"/>
    <n v="0"/>
    <n v="77040"/>
  </r>
  <r>
    <n v="10582"/>
    <x v="581"/>
    <x v="3"/>
    <x v="1"/>
    <x v="1"/>
    <x v="3"/>
    <n v="51"/>
    <x v="3"/>
    <n v="2"/>
    <n v="49570"/>
    <x v="3"/>
    <n v="99140"/>
    <n v="9914"/>
    <n v="89226"/>
  </r>
  <r>
    <n v="10583"/>
    <x v="582"/>
    <x v="3"/>
    <x v="3"/>
    <x v="0"/>
    <x v="3"/>
    <n v="52"/>
    <x v="3"/>
    <n v="5"/>
    <n v="17504"/>
    <x v="1"/>
    <n v="87520"/>
    <n v="13128"/>
    <n v="74392"/>
  </r>
  <r>
    <n v="10584"/>
    <x v="583"/>
    <x v="3"/>
    <x v="1"/>
    <x v="0"/>
    <x v="0"/>
    <n v="43"/>
    <x v="4"/>
    <n v="7"/>
    <n v="7801"/>
    <x v="0"/>
    <n v="54607"/>
    <n v="0"/>
    <n v="54607"/>
  </r>
  <r>
    <n v="10585"/>
    <x v="584"/>
    <x v="0"/>
    <x v="2"/>
    <x v="3"/>
    <x v="5"/>
    <n v="32"/>
    <x v="0"/>
    <n v="3"/>
    <n v="12845"/>
    <x v="0"/>
    <n v="38535"/>
    <n v="0"/>
    <n v="38535"/>
  </r>
  <r>
    <n v="10586"/>
    <x v="585"/>
    <x v="3"/>
    <x v="4"/>
    <x v="2"/>
    <x v="0"/>
    <n v="37"/>
    <x v="4"/>
    <n v="4"/>
    <n v="37845"/>
    <x v="4"/>
    <n v="151380"/>
    <n v="7569"/>
    <n v="143811"/>
  </r>
  <r>
    <n v="10587"/>
    <x v="586"/>
    <x v="3"/>
    <x v="2"/>
    <x v="0"/>
    <x v="1"/>
    <n v="63"/>
    <x v="2"/>
    <n v="8"/>
    <n v="22006"/>
    <x v="1"/>
    <n v="176048"/>
    <n v="26407.200000000001"/>
    <n v="149640.79999999999"/>
  </r>
  <r>
    <n v="10588"/>
    <x v="587"/>
    <x v="1"/>
    <x v="1"/>
    <x v="0"/>
    <x v="2"/>
    <n v="37"/>
    <x v="4"/>
    <n v="6"/>
    <n v="32310"/>
    <x v="0"/>
    <n v="193860"/>
    <n v="0"/>
    <n v="193860"/>
  </r>
  <r>
    <n v="10589"/>
    <x v="588"/>
    <x v="0"/>
    <x v="0"/>
    <x v="1"/>
    <x v="0"/>
    <n v="29"/>
    <x v="0"/>
    <n v="1"/>
    <n v="46234"/>
    <x v="4"/>
    <n v="46234"/>
    <n v="2311.6999999999998"/>
    <n v="43922.3"/>
  </r>
  <r>
    <n v="10590"/>
    <x v="589"/>
    <x v="2"/>
    <x v="3"/>
    <x v="1"/>
    <x v="6"/>
    <n v="38"/>
    <x v="4"/>
    <n v="8"/>
    <n v="3246"/>
    <x v="1"/>
    <n v="25968"/>
    <n v="3895.2"/>
    <n v="22072.799999999999"/>
  </r>
  <r>
    <n v="10591"/>
    <x v="590"/>
    <x v="1"/>
    <x v="3"/>
    <x v="2"/>
    <x v="3"/>
    <n v="55"/>
    <x v="2"/>
    <n v="4"/>
    <n v="22445"/>
    <x v="1"/>
    <n v="89780"/>
    <n v="13467"/>
    <n v="76313"/>
  </r>
  <r>
    <n v="10592"/>
    <x v="591"/>
    <x v="0"/>
    <x v="4"/>
    <x v="1"/>
    <x v="7"/>
    <n v="50"/>
    <x v="3"/>
    <n v="8"/>
    <n v="14695"/>
    <x v="1"/>
    <n v="117560"/>
    <n v="17634"/>
    <n v="99926"/>
  </r>
  <r>
    <n v="10593"/>
    <x v="592"/>
    <x v="1"/>
    <x v="1"/>
    <x v="3"/>
    <x v="2"/>
    <n v="33"/>
    <x v="0"/>
    <n v="1"/>
    <n v="28620"/>
    <x v="1"/>
    <n v="28620"/>
    <n v="4293"/>
    <n v="24327"/>
  </r>
  <r>
    <n v="10594"/>
    <x v="593"/>
    <x v="0"/>
    <x v="0"/>
    <x v="1"/>
    <x v="3"/>
    <n v="52"/>
    <x v="3"/>
    <n v="5"/>
    <n v="15746"/>
    <x v="2"/>
    <n v="78730"/>
    <n v="15746"/>
    <n v="62984"/>
  </r>
  <r>
    <n v="10595"/>
    <x v="594"/>
    <x v="1"/>
    <x v="1"/>
    <x v="0"/>
    <x v="5"/>
    <n v="59"/>
    <x v="2"/>
    <n v="5"/>
    <n v="6497"/>
    <x v="2"/>
    <n v="32485"/>
    <n v="6497"/>
    <n v="25988"/>
  </r>
  <r>
    <n v="10596"/>
    <x v="595"/>
    <x v="3"/>
    <x v="1"/>
    <x v="3"/>
    <x v="0"/>
    <n v="56"/>
    <x v="2"/>
    <n v="3"/>
    <n v="178"/>
    <x v="3"/>
    <n v="534"/>
    <n v="53.4"/>
    <n v="480.6"/>
  </r>
  <r>
    <n v="10597"/>
    <x v="596"/>
    <x v="3"/>
    <x v="1"/>
    <x v="1"/>
    <x v="6"/>
    <n v="57"/>
    <x v="2"/>
    <n v="5"/>
    <n v="12969"/>
    <x v="1"/>
    <n v="64845"/>
    <n v="9726.75"/>
    <n v="55118.25"/>
  </r>
  <r>
    <n v="10598"/>
    <x v="597"/>
    <x v="2"/>
    <x v="1"/>
    <x v="3"/>
    <x v="6"/>
    <n v="24"/>
    <x v="1"/>
    <n v="5"/>
    <n v="8006"/>
    <x v="0"/>
    <n v="40030"/>
    <n v="0"/>
    <n v="40030"/>
  </r>
  <r>
    <n v="10599"/>
    <x v="598"/>
    <x v="3"/>
    <x v="3"/>
    <x v="0"/>
    <x v="4"/>
    <n v="54"/>
    <x v="3"/>
    <n v="4"/>
    <n v="38468"/>
    <x v="4"/>
    <n v="153872"/>
    <n v="7693.6"/>
    <n v="146178.4"/>
  </r>
  <r>
    <n v="10600"/>
    <x v="599"/>
    <x v="2"/>
    <x v="4"/>
    <x v="1"/>
    <x v="0"/>
    <n v="26"/>
    <x v="0"/>
    <n v="7"/>
    <n v="12660"/>
    <x v="3"/>
    <n v="88620"/>
    <n v="8862"/>
    <n v="79758"/>
  </r>
  <r>
    <n v="10601"/>
    <x v="600"/>
    <x v="2"/>
    <x v="3"/>
    <x v="3"/>
    <x v="4"/>
    <n v="18"/>
    <x v="1"/>
    <n v="1"/>
    <n v="16089"/>
    <x v="4"/>
    <n v="16089"/>
    <n v="804.45"/>
    <n v="15284.55"/>
  </r>
  <r>
    <n v="10602"/>
    <x v="601"/>
    <x v="2"/>
    <x v="1"/>
    <x v="2"/>
    <x v="2"/>
    <n v="41"/>
    <x v="4"/>
    <n v="8"/>
    <n v="1156"/>
    <x v="1"/>
    <n v="9248"/>
    <n v="1387.2"/>
    <n v="7860.8"/>
  </r>
  <r>
    <n v="10603"/>
    <x v="602"/>
    <x v="3"/>
    <x v="1"/>
    <x v="0"/>
    <x v="3"/>
    <n v="60"/>
    <x v="2"/>
    <n v="9"/>
    <n v="47124"/>
    <x v="3"/>
    <n v="424116"/>
    <n v="42411.6"/>
    <n v="381704.4"/>
  </r>
  <r>
    <n v="10604"/>
    <x v="603"/>
    <x v="1"/>
    <x v="4"/>
    <x v="0"/>
    <x v="2"/>
    <n v="36"/>
    <x v="4"/>
    <n v="8"/>
    <n v="38389"/>
    <x v="3"/>
    <n v="307112"/>
    <n v="30711.200000000001"/>
    <n v="276400.8"/>
  </r>
  <r>
    <n v="10605"/>
    <x v="604"/>
    <x v="3"/>
    <x v="0"/>
    <x v="2"/>
    <x v="6"/>
    <n v="62"/>
    <x v="2"/>
    <n v="5"/>
    <n v="14075"/>
    <x v="4"/>
    <n v="70375"/>
    <n v="3518.75"/>
    <n v="66856.25"/>
  </r>
  <r>
    <n v="10606"/>
    <x v="605"/>
    <x v="2"/>
    <x v="3"/>
    <x v="0"/>
    <x v="1"/>
    <n v="61"/>
    <x v="2"/>
    <n v="8"/>
    <n v="30255"/>
    <x v="0"/>
    <n v="242040"/>
    <n v="0"/>
    <n v="242040"/>
  </r>
  <r>
    <n v="10607"/>
    <x v="606"/>
    <x v="2"/>
    <x v="4"/>
    <x v="1"/>
    <x v="5"/>
    <n v="47"/>
    <x v="3"/>
    <n v="5"/>
    <n v="2369"/>
    <x v="3"/>
    <n v="11845"/>
    <n v="1184.5"/>
    <n v="10660.5"/>
  </r>
  <r>
    <n v="10608"/>
    <x v="607"/>
    <x v="1"/>
    <x v="2"/>
    <x v="1"/>
    <x v="3"/>
    <n v="55"/>
    <x v="2"/>
    <n v="3"/>
    <n v="41048"/>
    <x v="1"/>
    <n v="123144"/>
    <n v="18471.599999999999"/>
    <n v="104672.4"/>
  </r>
  <r>
    <n v="10609"/>
    <x v="608"/>
    <x v="2"/>
    <x v="0"/>
    <x v="3"/>
    <x v="7"/>
    <n v="23"/>
    <x v="1"/>
    <n v="3"/>
    <n v="48085"/>
    <x v="4"/>
    <n v="144255"/>
    <n v="7212.75"/>
    <n v="137042.25"/>
  </r>
  <r>
    <n v="10610"/>
    <x v="609"/>
    <x v="0"/>
    <x v="2"/>
    <x v="3"/>
    <x v="0"/>
    <n v="20"/>
    <x v="1"/>
    <n v="9"/>
    <n v="26575"/>
    <x v="2"/>
    <n v="239175"/>
    <n v="47835"/>
    <n v="191340"/>
  </r>
  <r>
    <n v="10611"/>
    <x v="610"/>
    <x v="3"/>
    <x v="4"/>
    <x v="0"/>
    <x v="0"/>
    <n v="58"/>
    <x v="2"/>
    <n v="6"/>
    <n v="16188"/>
    <x v="0"/>
    <n v="97128"/>
    <n v="0"/>
    <n v="97128"/>
  </r>
  <r>
    <n v="10612"/>
    <x v="611"/>
    <x v="0"/>
    <x v="0"/>
    <x v="2"/>
    <x v="2"/>
    <n v="54"/>
    <x v="3"/>
    <n v="4"/>
    <n v="1887"/>
    <x v="0"/>
    <n v="7548"/>
    <n v="0"/>
    <n v="7548"/>
  </r>
  <r>
    <n v="10613"/>
    <x v="612"/>
    <x v="3"/>
    <x v="1"/>
    <x v="0"/>
    <x v="7"/>
    <n v="48"/>
    <x v="3"/>
    <n v="6"/>
    <n v="13906"/>
    <x v="4"/>
    <n v="83436"/>
    <n v="4171.8"/>
    <n v="79264.2"/>
  </r>
  <r>
    <n v="10614"/>
    <x v="613"/>
    <x v="2"/>
    <x v="4"/>
    <x v="3"/>
    <x v="3"/>
    <n v="37"/>
    <x v="4"/>
    <n v="1"/>
    <n v="10922"/>
    <x v="2"/>
    <n v="10922"/>
    <n v="2184.4"/>
    <n v="8737.6"/>
  </r>
  <r>
    <n v="10615"/>
    <x v="614"/>
    <x v="0"/>
    <x v="1"/>
    <x v="3"/>
    <x v="3"/>
    <n v="37"/>
    <x v="4"/>
    <n v="4"/>
    <n v="17567"/>
    <x v="2"/>
    <n v="70268"/>
    <n v="14053.6"/>
    <n v="56214.400000000001"/>
  </r>
  <r>
    <n v="10616"/>
    <x v="615"/>
    <x v="1"/>
    <x v="4"/>
    <x v="3"/>
    <x v="2"/>
    <n v="41"/>
    <x v="4"/>
    <n v="6"/>
    <n v="48707"/>
    <x v="3"/>
    <n v="292242"/>
    <n v="29224.2"/>
    <n v="263017.8"/>
  </r>
  <r>
    <n v="10617"/>
    <x v="616"/>
    <x v="0"/>
    <x v="0"/>
    <x v="1"/>
    <x v="0"/>
    <n v="48"/>
    <x v="3"/>
    <n v="5"/>
    <n v="17151"/>
    <x v="2"/>
    <n v="85755"/>
    <n v="17151"/>
    <n v="68604"/>
  </r>
  <r>
    <n v="10618"/>
    <x v="617"/>
    <x v="0"/>
    <x v="0"/>
    <x v="0"/>
    <x v="7"/>
    <n v="35"/>
    <x v="4"/>
    <n v="2"/>
    <n v="28314"/>
    <x v="2"/>
    <n v="56628"/>
    <n v="11325.6"/>
    <n v="45302.400000000001"/>
  </r>
  <r>
    <n v="10619"/>
    <x v="618"/>
    <x v="0"/>
    <x v="0"/>
    <x v="0"/>
    <x v="5"/>
    <n v="52"/>
    <x v="3"/>
    <n v="6"/>
    <n v="49799"/>
    <x v="4"/>
    <n v="298794"/>
    <n v="14939.7"/>
    <n v="283854.3"/>
  </r>
  <r>
    <n v="10620"/>
    <x v="619"/>
    <x v="0"/>
    <x v="1"/>
    <x v="1"/>
    <x v="5"/>
    <n v="57"/>
    <x v="2"/>
    <n v="1"/>
    <n v="15745"/>
    <x v="2"/>
    <n v="15745"/>
    <n v="3149"/>
    <n v="12596"/>
  </r>
  <r>
    <n v="10621"/>
    <x v="620"/>
    <x v="3"/>
    <x v="0"/>
    <x v="0"/>
    <x v="5"/>
    <n v="41"/>
    <x v="4"/>
    <n v="4"/>
    <n v="23424"/>
    <x v="1"/>
    <n v="93696"/>
    <n v="14054.4"/>
    <n v="79641.600000000006"/>
  </r>
  <r>
    <n v="10622"/>
    <x v="621"/>
    <x v="3"/>
    <x v="0"/>
    <x v="2"/>
    <x v="0"/>
    <n v="34"/>
    <x v="0"/>
    <n v="7"/>
    <n v="34353"/>
    <x v="0"/>
    <n v="240471"/>
    <n v="0"/>
    <n v="240471"/>
  </r>
  <r>
    <n v="10623"/>
    <x v="622"/>
    <x v="2"/>
    <x v="4"/>
    <x v="2"/>
    <x v="6"/>
    <n v="27"/>
    <x v="0"/>
    <n v="6"/>
    <n v="22196"/>
    <x v="1"/>
    <n v="133176"/>
    <n v="19976.400000000001"/>
    <n v="113199.6"/>
  </r>
  <r>
    <n v="10624"/>
    <x v="623"/>
    <x v="0"/>
    <x v="4"/>
    <x v="1"/>
    <x v="5"/>
    <n v="45"/>
    <x v="3"/>
    <n v="9"/>
    <n v="28727"/>
    <x v="3"/>
    <n v="258543"/>
    <n v="25854.3"/>
    <n v="232688.7"/>
  </r>
  <r>
    <n v="10625"/>
    <x v="624"/>
    <x v="2"/>
    <x v="3"/>
    <x v="3"/>
    <x v="5"/>
    <n v="48"/>
    <x v="3"/>
    <n v="2"/>
    <n v="48743"/>
    <x v="2"/>
    <n v="97486"/>
    <n v="19497.2"/>
    <n v="77988.800000000003"/>
  </r>
  <r>
    <n v="10626"/>
    <x v="625"/>
    <x v="3"/>
    <x v="2"/>
    <x v="3"/>
    <x v="6"/>
    <n v="55"/>
    <x v="2"/>
    <n v="5"/>
    <n v="3516"/>
    <x v="4"/>
    <n v="17580"/>
    <n v="879"/>
    <n v="16701"/>
  </r>
  <r>
    <n v="10627"/>
    <x v="626"/>
    <x v="1"/>
    <x v="3"/>
    <x v="0"/>
    <x v="5"/>
    <n v="39"/>
    <x v="4"/>
    <n v="7"/>
    <n v="12329"/>
    <x v="1"/>
    <n v="86303"/>
    <n v="12945.45"/>
    <n v="73357.55"/>
  </r>
  <r>
    <n v="10628"/>
    <x v="627"/>
    <x v="3"/>
    <x v="1"/>
    <x v="2"/>
    <x v="5"/>
    <n v="18"/>
    <x v="1"/>
    <n v="6"/>
    <n v="12445"/>
    <x v="1"/>
    <n v="74670"/>
    <n v="11200.5"/>
    <n v="63469.5"/>
  </r>
  <r>
    <n v="10629"/>
    <x v="628"/>
    <x v="0"/>
    <x v="3"/>
    <x v="3"/>
    <x v="2"/>
    <n v="49"/>
    <x v="3"/>
    <n v="1"/>
    <n v="16188"/>
    <x v="0"/>
    <n v="16188"/>
    <n v="0"/>
    <n v="16188"/>
  </r>
  <r>
    <n v="10630"/>
    <x v="629"/>
    <x v="0"/>
    <x v="1"/>
    <x v="1"/>
    <x v="6"/>
    <n v="47"/>
    <x v="3"/>
    <n v="9"/>
    <n v="3124"/>
    <x v="4"/>
    <n v="28116"/>
    <n v="1405.8"/>
    <n v="26710.2"/>
  </r>
  <r>
    <n v="10631"/>
    <x v="630"/>
    <x v="3"/>
    <x v="4"/>
    <x v="1"/>
    <x v="4"/>
    <n v="36"/>
    <x v="4"/>
    <n v="4"/>
    <n v="13446"/>
    <x v="2"/>
    <n v="53784"/>
    <n v="10756.8"/>
    <n v="43027.199999999997"/>
  </r>
  <r>
    <n v="10632"/>
    <x v="631"/>
    <x v="2"/>
    <x v="0"/>
    <x v="2"/>
    <x v="4"/>
    <n v="57"/>
    <x v="2"/>
    <n v="4"/>
    <n v="21929"/>
    <x v="1"/>
    <n v="87716"/>
    <n v="13157.4"/>
    <n v="74558.600000000006"/>
  </r>
  <r>
    <n v="10633"/>
    <x v="632"/>
    <x v="2"/>
    <x v="4"/>
    <x v="2"/>
    <x v="7"/>
    <n v="62"/>
    <x v="2"/>
    <n v="1"/>
    <n v="38192"/>
    <x v="4"/>
    <n v="38192"/>
    <n v="1909.6"/>
    <n v="36282.400000000001"/>
  </r>
  <r>
    <n v="10634"/>
    <x v="633"/>
    <x v="0"/>
    <x v="4"/>
    <x v="0"/>
    <x v="7"/>
    <n v="62"/>
    <x v="2"/>
    <n v="7"/>
    <n v="37764"/>
    <x v="1"/>
    <n v="264348"/>
    <n v="39652.199999999997"/>
    <n v="224695.8"/>
  </r>
  <r>
    <n v="10635"/>
    <x v="634"/>
    <x v="1"/>
    <x v="4"/>
    <x v="3"/>
    <x v="5"/>
    <n v="41"/>
    <x v="4"/>
    <n v="7"/>
    <n v="40574"/>
    <x v="3"/>
    <n v="284018"/>
    <n v="28401.8"/>
    <n v="255616.2"/>
  </r>
  <r>
    <n v="10636"/>
    <x v="635"/>
    <x v="2"/>
    <x v="2"/>
    <x v="1"/>
    <x v="4"/>
    <n v="54"/>
    <x v="3"/>
    <n v="2"/>
    <n v="9444"/>
    <x v="1"/>
    <n v="18888"/>
    <n v="2833.2"/>
    <n v="16054.8"/>
  </r>
  <r>
    <n v="10637"/>
    <x v="636"/>
    <x v="0"/>
    <x v="4"/>
    <x v="2"/>
    <x v="5"/>
    <n v="35"/>
    <x v="4"/>
    <n v="3"/>
    <n v="15790"/>
    <x v="4"/>
    <n v="47370"/>
    <n v="2368.5"/>
    <n v="45001.5"/>
  </r>
  <r>
    <n v="10638"/>
    <x v="637"/>
    <x v="0"/>
    <x v="3"/>
    <x v="1"/>
    <x v="4"/>
    <n v="43"/>
    <x v="4"/>
    <n v="9"/>
    <n v="43639"/>
    <x v="1"/>
    <n v="392751"/>
    <n v="58912.65"/>
    <n v="333838.34999999998"/>
  </r>
  <r>
    <n v="10639"/>
    <x v="638"/>
    <x v="2"/>
    <x v="0"/>
    <x v="0"/>
    <x v="0"/>
    <n v="23"/>
    <x v="1"/>
    <n v="1"/>
    <n v="15504"/>
    <x v="4"/>
    <n v="15504"/>
    <n v="775.2"/>
    <n v="14728.8"/>
  </r>
  <r>
    <n v="10640"/>
    <x v="639"/>
    <x v="2"/>
    <x v="4"/>
    <x v="2"/>
    <x v="5"/>
    <n v="61"/>
    <x v="2"/>
    <n v="7"/>
    <n v="24960"/>
    <x v="3"/>
    <n v="174720"/>
    <n v="17472"/>
    <n v="157248"/>
  </r>
  <r>
    <n v="10641"/>
    <x v="640"/>
    <x v="2"/>
    <x v="1"/>
    <x v="1"/>
    <x v="4"/>
    <n v="28"/>
    <x v="0"/>
    <n v="4"/>
    <n v="42588"/>
    <x v="0"/>
    <n v="170352"/>
    <n v="0"/>
    <n v="170352"/>
  </r>
  <r>
    <n v="10642"/>
    <x v="641"/>
    <x v="3"/>
    <x v="0"/>
    <x v="0"/>
    <x v="0"/>
    <n v="39"/>
    <x v="4"/>
    <n v="4"/>
    <n v="32103"/>
    <x v="4"/>
    <n v="128412"/>
    <n v="6420.6"/>
    <n v="121991.4"/>
  </r>
  <r>
    <n v="10643"/>
    <x v="642"/>
    <x v="1"/>
    <x v="0"/>
    <x v="1"/>
    <x v="3"/>
    <n v="22"/>
    <x v="1"/>
    <n v="6"/>
    <n v="17728"/>
    <x v="0"/>
    <n v="106368"/>
    <n v="0"/>
    <n v="106368"/>
  </r>
  <r>
    <n v="10644"/>
    <x v="643"/>
    <x v="3"/>
    <x v="1"/>
    <x v="1"/>
    <x v="1"/>
    <n v="61"/>
    <x v="2"/>
    <n v="3"/>
    <n v="21917"/>
    <x v="3"/>
    <n v="65751"/>
    <n v="6575.1"/>
    <n v="59175.9"/>
  </r>
  <r>
    <n v="10645"/>
    <x v="644"/>
    <x v="2"/>
    <x v="2"/>
    <x v="3"/>
    <x v="5"/>
    <n v="64"/>
    <x v="2"/>
    <n v="9"/>
    <n v="26860"/>
    <x v="2"/>
    <n v="241740"/>
    <n v="48348"/>
    <n v="193392"/>
  </r>
  <r>
    <n v="10646"/>
    <x v="645"/>
    <x v="1"/>
    <x v="1"/>
    <x v="2"/>
    <x v="6"/>
    <n v="63"/>
    <x v="2"/>
    <n v="8"/>
    <n v="44151"/>
    <x v="2"/>
    <n v="353208"/>
    <n v="70641.600000000006"/>
    <n v="282566.40000000002"/>
  </r>
  <r>
    <n v="10647"/>
    <x v="646"/>
    <x v="3"/>
    <x v="3"/>
    <x v="3"/>
    <x v="3"/>
    <n v="28"/>
    <x v="0"/>
    <n v="9"/>
    <n v="33407"/>
    <x v="2"/>
    <n v="300663"/>
    <n v="60132.6"/>
    <n v="240530.4"/>
  </r>
  <r>
    <n v="10648"/>
    <x v="647"/>
    <x v="2"/>
    <x v="1"/>
    <x v="1"/>
    <x v="6"/>
    <n v="30"/>
    <x v="0"/>
    <n v="4"/>
    <n v="49898"/>
    <x v="2"/>
    <n v="199592"/>
    <n v="39918.400000000001"/>
    <n v="159673.60000000001"/>
  </r>
  <r>
    <n v="10649"/>
    <x v="648"/>
    <x v="3"/>
    <x v="1"/>
    <x v="1"/>
    <x v="3"/>
    <n v="53"/>
    <x v="3"/>
    <n v="1"/>
    <n v="18516"/>
    <x v="0"/>
    <n v="18516"/>
    <n v="0"/>
    <n v="18516"/>
  </r>
  <r>
    <n v="10650"/>
    <x v="649"/>
    <x v="2"/>
    <x v="0"/>
    <x v="3"/>
    <x v="6"/>
    <n v="35"/>
    <x v="4"/>
    <n v="6"/>
    <n v="3481"/>
    <x v="3"/>
    <n v="20886"/>
    <n v="2088.6"/>
    <n v="18797.400000000001"/>
  </r>
  <r>
    <n v="10651"/>
    <x v="650"/>
    <x v="2"/>
    <x v="1"/>
    <x v="0"/>
    <x v="1"/>
    <n v="29"/>
    <x v="0"/>
    <n v="4"/>
    <n v="37484"/>
    <x v="2"/>
    <n v="149936"/>
    <n v="29987.200000000001"/>
    <n v="119948.8"/>
  </r>
  <r>
    <n v="10652"/>
    <x v="651"/>
    <x v="2"/>
    <x v="4"/>
    <x v="1"/>
    <x v="1"/>
    <n v="22"/>
    <x v="1"/>
    <n v="1"/>
    <n v="27906"/>
    <x v="0"/>
    <n v="27906"/>
    <n v="0"/>
    <n v="27906"/>
  </r>
  <r>
    <n v="10653"/>
    <x v="652"/>
    <x v="0"/>
    <x v="0"/>
    <x v="1"/>
    <x v="5"/>
    <n v="41"/>
    <x v="4"/>
    <n v="1"/>
    <n v="39235"/>
    <x v="1"/>
    <n v="39235"/>
    <n v="5885.25"/>
    <n v="33349.75"/>
  </r>
  <r>
    <n v="10654"/>
    <x v="653"/>
    <x v="1"/>
    <x v="0"/>
    <x v="0"/>
    <x v="3"/>
    <n v="44"/>
    <x v="4"/>
    <n v="5"/>
    <n v="12745"/>
    <x v="2"/>
    <n v="63725"/>
    <n v="12745"/>
    <n v="50980"/>
  </r>
  <r>
    <n v="10655"/>
    <x v="654"/>
    <x v="2"/>
    <x v="0"/>
    <x v="3"/>
    <x v="3"/>
    <n v="19"/>
    <x v="1"/>
    <n v="4"/>
    <n v="33320"/>
    <x v="2"/>
    <n v="133280"/>
    <n v="26656"/>
    <n v="106624"/>
  </r>
  <r>
    <n v="10656"/>
    <x v="655"/>
    <x v="3"/>
    <x v="0"/>
    <x v="0"/>
    <x v="7"/>
    <n v="34"/>
    <x v="0"/>
    <n v="5"/>
    <n v="36375"/>
    <x v="4"/>
    <n v="181875"/>
    <n v="9093.75"/>
    <n v="172781.25"/>
  </r>
  <r>
    <n v="10657"/>
    <x v="656"/>
    <x v="3"/>
    <x v="2"/>
    <x v="3"/>
    <x v="2"/>
    <n v="29"/>
    <x v="0"/>
    <n v="5"/>
    <n v="7802"/>
    <x v="3"/>
    <n v="39010"/>
    <n v="3901"/>
    <n v="35109"/>
  </r>
  <r>
    <n v="10658"/>
    <x v="657"/>
    <x v="2"/>
    <x v="4"/>
    <x v="0"/>
    <x v="4"/>
    <n v="55"/>
    <x v="2"/>
    <n v="6"/>
    <n v="42488"/>
    <x v="4"/>
    <n v="254928"/>
    <n v="12746.4"/>
    <n v="242181.6"/>
  </r>
  <r>
    <n v="10659"/>
    <x v="658"/>
    <x v="3"/>
    <x v="2"/>
    <x v="1"/>
    <x v="0"/>
    <n v="43"/>
    <x v="4"/>
    <n v="3"/>
    <n v="49924"/>
    <x v="4"/>
    <n v="149772"/>
    <n v="7488.6"/>
    <n v="142283.4"/>
  </r>
  <r>
    <n v="10660"/>
    <x v="659"/>
    <x v="3"/>
    <x v="3"/>
    <x v="2"/>
    <x v="1"/>
    <n v="42"/>
    <x v="4"/>
    <n v="8"/>
    <n v="34528"/>
    <x v="1"/>
    <n v="276224"/>
    <n v="41433.599999999999"/>
    <n v="234790.39999999999"/>
  </r>
  <r>
    <n v="10661"/>
    <x v="660"/>
    <x v="1"/>
    <x v="2"/>
    <x v="2"/>
    <x v="6"/>
    <n v="34"/>
    <x v="0"/>
    <n v="4"/>
    <n v="34902"/>
    <x v="0"/>
    <n v="139608"/>
    <n v="0"/>
    <n v="139608"/>
  </r>
  <r>
    <n v="10662"/>
    <x v="661"/>
    <x v="0"/>
    <x v="0"/>
    <x v="1"/>
    <x v="5"/>
    <n v="33"/>
    <x v="0"/>
    <n v="5"/>
    <n v="20419"/>
    <x v="3"/>
    <n v="102095"/>
    <n v="10209.5"/>
    <n v="91885.5"/>
  </r>
  <r>
    <n v="10663"/>
    <x v="662"/>
    <x v="2"/>
    <x v="4"/>
    <x v="1"/>
    <x v="1"/>
    <n v="59"/>
    <x v="2"/>
    <n v="9"/>
    <n v="23013"/>
    <x v="2"/>
    <n v="207117"/>
    <n v="41423.4"/>
    <n v="165693.6"/>
  </r>
  <r>
    <n v="10664"/>
    <x v="663"/>
    <x v="1"/>
    <x v="2"/>
    <x v="0"/>
    <x v="1"/>
    <n v="38"/>
    <x v="4"/>
    <n v="9"/>
    <n v="33673"/>
    <x v="4"/>
    <n v="303057"/>
    <n v="15152.85"/>
    <n v="287904.15000000002"/>
  </r>
  <r>
    <n v="10665"/>
    <x v="664"/>
    <x v="2"/>
    <x v="2"/>
    <x v="2"/>
    <x v="4"/>
    <n v="37"/>
    <x v="4"/>
    <n v="2"/>
    <n v="6396"/>
    <x v="3"/>
    <n v="12792"/>
    <n v="1279.2"/>
    <n v="11512.8"/>
  </r>
  <r>
    <n v="10666"/>
    <x v="665"/>
    <x v="2"/>
    <x v="4"/>
    <x v="3"/>
    <x v="7"/>
    <n v="63"/>
    <x v="2"/>
    <n v="3"/>
    <n v="26596"/>
    <x v="3"/>
    <n v="79788"/>
    <n v="7978.8"/>
    <n v="71809.2"/>
  </r>
  <r>
    <n v="10667"/>
    <x v="666"/>
    <x v="1"/>
    <x v="2"/>
    <x v="1"/>
    <x v="6"/>
    <n v="51"/>
    <x v="3"/>
    <n v="7"/>
    <n v="7127"/>
    <x v="2"/>
    <n v="49889"/>
    <n v="9977.7999999999993"/>
    <n v="39911.199999999997"/>
  </r>
  <r>
    <n v="10668"/>
    <x v="667"/>
    <x v="2"/>
    <x v="4"/>
    <x v="3"/>
    <x v="5"/>
    <n v="19"/>
    <x v="1"/>
    <n v="4"/>
    <n v="44138"/>
    <x v="3"/>
    <n v="176552"/>
    <n v="17655.2"/>
    <n v="158896.79999999999"/>
  </r>
  <r>
    <n v="10669"/>
    <x v="668"/>
    <x v="1"/>
    <x v="3"/>
    <x v="1"/>
    <x v="3"/>
    <n v="47"/>
    <x v="3"/>
    <n v="4"/>
    <n v="18087"/>
    <x v="1"/>
    <n v="72348"/>
    <n v="10852.2"/>
    <n v="61495.8"/>
  </r>
  <r>
    <n v="10670"/>
    <x v="669"/>
    <x v="1"/>
    <x v="2"/>
    <x v="0"/>
    <x v="3"/>
    <n v="56"/>
    <x v="2"/>
    <n v="6"/>
    <n v="14901"/>
    <x v="3"/>
    <n v="89406"/>
    <n v="8940.6"/>
    <n v="80465.399999999994"/>
  </r>
  <r>
    <n v="10671"/>
    <x v="670"/>
    <x v="1"/>
    <x v="4"/>
    <x v="1"/>
    <x v="1"/>
    <n v="37"/>
    <x v="4"/>
    <n v="8"/>
    <n v="20840"/>
    <x v="3"/>
    <n v="166720"/>
    <n v="16672"/>
    <n v="150048"/>
  </r>
  <r>
    <n v="10672"/>
    <x v="671"/>
    <x v="2"/>
    <x v="0"/>
    <x v="2"/>
    <x v="6"/>
    <n v="23"/>
    <x v="1"/>
    <n v="7"/>
    <n v="45170"/>
    <x v="2"/>
    <n v="316190"/>
    <n v="63238"/>
    <n v="252952"/>
  </r>
  <r>
    <n v="10673"/>
    <x v="672"/>
    <x v="2"/>
    <x v="4"/>
    <x v="1"/>
    <x v="6"/>
    <n v="45"/>
    <x v="3"/>
    <n v="1"/>
    <n v="35861"/>
    <x v="0"/>
    <n v="35861"/>
    <n v="0"/>
    <n v="35861"/>
  </r>
  <r>
    <n v="10674"/>
    <x v="673"/>
    <x v="3"/>
    <x v="4"/>
    <x v="3"/>
    <x v="4"/>
    <n v="18"/>
    <x v="1"/>
    <n v="7"/>
    <n v="24825"/>
    <x v="3"/>
    <n v="173775"/>
    <n v="17377.5"/>
    <n v="156397.5"/>
  </r>
  <r>
    <n v="10675"/>
    <x v="674"/>
    <x v="1"/>
    <x v="0"/>
    <x v="1"/>
    <x v="6"/>
    <n v="37"/>
    <x v="4"/>
    <n v="7"/>
    <n v="41868"/>
    <x v="3"/>
    <n v="293076"/>
    <n v="29307.599999999999"/>
    <n v="263768.40000000002"/>
  </r>
  <r>
    <n v="10676"/>
    <x v="675"/>
    <x v="0"/>
    <x v="2"/>
    <x v="0"/>
    <x v="6"/>
    <n v="58"/>
    <x v="2"/>
    <n v="6"/>
    <n v="32181"/>
    <x v="3"/>
    <n v="193086"/>
    <n v="19308.599999999999"/>
    <n v="173777.4"/>
  </r>
  <r>
    <n v="10677"/>
    <x v="676"/>
    <x v="1"/>
    <x v="0"/>
    <x v="0"/>
    <x v="3"/>
    <n v="29"/>
    <x v="0"/>
    <n v="7"/>
    <n v="49781"/>
    <x v="3"/>
    <n v="348467"/>
    <n v="34846.699999999997"/>
    <n v="313620.3"/>
  </r>
  <r>
    <n v="10678"/>
    <x v="677"/>
    <x v="0"/>
    <x v="2"/>
    <x v="3"/>
    <x v="6"/>
    <n v="23"/>
    <x v="1"/>
    <n v="5"/>
    <n v="33616"/>
    <x v="0"/>
    <n v="168080"/>
    <n v="0"/>
    <n v="168080"/>
  </r>
  <r>
    <n v="10679"/>
    <x v="678"/>
    <x v="0"/>
    <x v="1"/>
    <x v="0"/>
    <x v="4"/>
    <n v="24"/>
    <x v="1"/>
    <n v="4"/>
    <n v="26534"/>
    <x v="1"/>
    <n v="106136"/>
    <n v="15920.4"/>
    <n v="90215.6"/>
  </r>
  <r>
    <n v="10680"/>
    <x v="679"/>
    <x v="2"/>
    <x v="4"/>
    <x v="2"/>
    <x v="2"/>
    <n v="47"/>
    <x v="3"/>
    <n v="5"/>
    <n v="23058"/>
    <x v="4"/>
    <n v="115290"/>
    <n v="5764.5"/>
    <n v="109525.5"/>
  </r>
  <r>
    <n v="10681"/>
    <x v="680"/>
    <x v="1"/>
    <x v="1"/>
    <x v="2"/>
    <x v="1"/>
    <n v="53"/>
    <x v="3"/>
    <n v="1"/>
    <n v="48992"/>
    <x v="3"/>
    <n v="48992"/>
    <n v="4899.2"/>
    <n v="44092.800000000003"/>
  </r>
  <r>
    <n v="10682"/>
    <x v="681"/>
    <x v="2"/>
    <x v="1"/>
    <x v="0"/>
    <x v="4"/>
    <n v="40"/>
    <x v="4"/>
    <n v="3"/>
    <n v="3204"/>
    <x v="3"/>
    <n v="9612"/>
    <n v="961.2"/>
    <n v="8650.7999999999993"/>
  </r>
  <r>
    <n v="10683"/>
    <x v="682"/>
    <x v="1"/>
    <x v="3"/>
    <x v="0"/>
    <x v="6"/>
    <n v="35"/>
    <x v="4"/>
    <n v="5"/>
    <n v="43372"/>
    <x v="2"/>
    <n v="216860"/>
    <n v="43372"/>
    <n v="173488"/>
  </r>
  <r>
    <n v="10684"/>
    <x v="683"/>
    <x v="3"/>
    <x v="0"/>
    <x v="2"/>
    <x v="0"/>
    <n v="46"/>
    <x v="3"/>
    <n v="2"/>
    <n v="2948"/>
    <x v="0"/>
    <n v="5896"/>
    <n v="0"/>
    <n v="5896"/>
  </r>
  <r>
    <n v="10685"/>
    <x v="684"/>
    <x v="3"/>
    <x v="0"/>
    <x v="3"/>
    <x v="2"/>
    <n v="51"/>
    <x v="3"/>
    <n v="6"/>
    <n v="29187"/>
    <x v="4"/>
    <n v="175122"/>
    <n v="8756.1"/>
    <n v="166365.9"/>
  </r>
  <r>
    <n v="10686"/>
    <x v="685"/>
    <x v="3"/>
    <x v="0"/>
    <x v="0"/>
    <x v="4"/>
    <n v="27"/>
    <x v="0"/>
    <n v="8"/>
    <n v="9426"/>
    <x v="2"/>
    <n v="75408"/>
    <n v="15081.6"/>
    <n v="60326.400000000001"/>
  </r>
  <r>
    <n v="10687"/>
    <x v="686"/>
    <x v="3"/>
    <x v="4"/>
    <x v="2"/>
    <x v="2"/>
    <n v="38"/>
    <x v="4"/>
    <n v="9"/>
    <n v="33567"/>
    <x v="4"/>
    <n v="302103"/>
    <n v="15105.15"/>
    <n v="286997.84999999998"/>
  </r>
  <r>
    <n v="10688"/>
    <x v="687"/>
    <x v="3"/>
    <x v="0"/>
    <x v="1"/>
    <x v="5"/>
    <n v="47"/>
    <x v="3"/>
    <n v="7"/>
    <n v="47581"/>
    <x v="4"/>
    <n v="333067"/>
    <n v="16653.349999999999"/>
    <n v="316413.65000000002"/>
  </r>
  <r>
    <n v="10689"/>
    <x v="688"/>
    <x v="3"/>
    <x v="3"/>
    <x v="3"/>
    <x v="3"/>
    <n v="50"/>
    <x v="3"/>
    <n v="5"/>
    <n v="13551"/>
    <x v="3"/>
    <n v="67755"/>
    <n v="6775.5"/>
    <n v="60979.5"/>
  </r>
  <r>
    <n v="10690"/>
    <x v="689"/>
    <x v="3"/>
    <x v="4"/>
    <x v="2"/>
    <x v="0"/>
    <n v="61"/>
    <x v="2"/>
    <n v="8"/>
    <n v="23535"/>
    <x v="4"/>
    <n v="188280"/>
    <n v="9414"/>
    <n v="178866"/>
  </r>
  <r>
    <n v="10691"/>
    <x v="690"/>
    <x v="3"/>
    <x v="3"/>
    <x v="0"/>
    <x v="1"/>
    <n v="45"/>
    <x v="3"/>
    <n v="5"/>
    <n v="22764"/>
    <x v="3"/>
    <n v="113820"/>
    <n v="11382"/>
    <n v="102438"/>
  </r>
  <r>
    <n v="10692"/>
    <x v="691"/>
    <x v="2"/>
    <x v="3"/>
    <x v="3"/>
    <x v="3"/>
    <n v="64"/>
    <x v="2"/>
    <n v="4"/>
    <n v="36589"/>
    <x v="4"/>
    <n v="146356"/>
    <n v="7317.8"/>
    <n v="139038.20000000001"/>
  </r>
  <r>
    <n v="10693"/>
    <x v="692"/>
    <x v="3"/>
    <x v="4"/>
    <x v="0"/>
    <x v="3"/>
    <n v="64"/>
    <x v="2"/>
    <n v="9"/>
    <n v="48214"/>
    <x v="4"/>
    <n v="433926"/>
    <n v="21696.3"/>
    <n v="412229.7"/>
  </r>
  <r>
    <n v="10694"/>
    <x v="693"/>
    <x v="0"/>
    <x v="2"/>
    <x v="3"/>
    <x v="0"/>
    <n v="33"/>
    <x v="0"/>
    <n v="4"/>
    <n v="46141"/>
    <x v="1"/>
    <n v="184564"/>
    <n v="27684.6"/>
    <n v="156879.4"/>
  </r>
  <r>
    <n v="10695"/>
    <x v="694"/>
    <x v="3"/>
    <x v="2"/>
    <x v="0"/>
    <x v="6"/>
    <n v="19"/>
    <x v="1"/>
    <n v="4"/>
    <n v="40771"/>
    <x v="1"/>
    <n v="163084"/>
    <n v="24462.6"/>
    <n v="138621.4"/>
  </r>
  <r>
    <n v="10696"/>
    <x v="695"/>
    <x v="0"/>
    <x v="2"/>
    <x v="1"/>
    <x v="6"/>
    <n v="30"/>
    <x v="0"/>
    <n v="5"/>
    <n v="14483"/>
    <x v="4"/>
    <n v="72415"/>
    <n v="3620.75"/>
    <n v="68794.25"/>
  </r>
  <r>
    <n v="10697"/>
    <x v="696"/>
    <x v="3"/>
    <x v="1"/>
    <x v="2"/>
    <x v="6"/>
    <n v="57"/>
    <x v="2"/>
    <n v="5"/>
    <n v="49965"/>
    <x v="1"/>
    <n v="249825"/>
    <n v="37473.75"/>
    <n v="212351.25"/>
  </r>
  <r>
    <n v="10698"/>
    <x v="697"/>
    <x v="3"/>
    <x v="2"/>
    <x v="3"/>
    <x v="4"/>
    <n v="37"/>
    <x v="4"/>
    <n v="7"/>
    <n v="33360"/>
    <x v="1"/>
    <n v="233520"/>
    <n v="35028"/>
    <n v="198492"/>
  </r>
  <r>
    <n v="10699"/>
    <x v="698"/>
    <x v="1"/>
    <x v="1"/>
    <x v="3"/>
    <x v="7"/>
    <n v="20"/>
    <x v="1"/>
    <n v="4"/>
    <n v="7209"/>
    <x v="2"/>
    <n v="28836"/>
    <n v="5767.2"/>
    <n v="23068.799999999999"/>
  </r>
  <r>
    <n v="10700"/>
    <x v="699"/>
    <x v="0"/>
    <x v="0"/>
    <x v="1"/>
    <x v="5"/>
    <n v="42"/>
    <x v="4"/>
    <n v="6"/>
    <n v="49693"/>
    <x v="3"/>
    <n v="298158"/>
    <n v="29815.8"/>
    <n v="268342.2"/>
  </r>
  <r>
    <n v="10701"/>
    <x v="700"/>
    <x v="2"/>
    <x v="4"/>
    <x v="3"/>
    <x v="1"/>
    <n v="20"/>
    <x v="1"/>
    <n v="5"/>
    <n v="1114"/>
    <x v="4"/>
    <n v="5570"/>
    <n v="278.5"/>
    <n v="5291.5"/>
  </r>
  <r>
    <n v="10702"/>
    <x v="701"/>
    <x v="2"/>
    <x v="0"/>
    <x v="3"/>
    <x v="5"/>
    <n v="51"/>
    <x v="3"/>
    <n v="5"/>
    <n v="12610"/>
    <x v="4"/>
    <n v="63050"/>
    <n v="3152.5"/>
    <n v="59897.5"/>
  </r>
  <r>
    <n v="10703"/>
    <x v="702"/>
    <x v="0"/>
    <x v="0"/>
    <x v="2"/>
    <x v="3"/>
    <n v="62"/>
    <x v="2"/>
    <n v="4"/>
    <n v="29661"/>
    <x v="3"/>
    <n v="118644"/>
    <n v="11864.4"/>
    <n v="106779.6"/>
  </r>
  <r>
    <n v="10704"/>
    <x v="703"/>
    <x v="0"/>
    <x v="0"/>
    <x v="2"/>
    <x v="3"/>
    <n v="55"/>
    <x v="2"/>
    <n v="8"/>
    <n v="6672"/>
    <x v="0"/>
    <n v="53376"/>
    <n v="0"/>
    <n v="53376"/>
  </r>
  <r>
    <n v="10705"/>
    <x v="704"/>
    <x v="1"/>
    <x v="3"/>
    <x v="3"/>
    <x v="3"/>
    <n v="64"/>
    <x v="2"/>
    <n v="9"/>
    <n v="9959"/>
    <x v="1"/>
    <n v="89631"/>
    <n v="13444.65"/>
    <n v="76186.350000000006"/>
  </r>
  <r>
    <n v="10706"/>
    <x v="705"/>
    <x v="3"/>
    <x v="1"/>
    <x v="0"/>
    <x v="4"/>
    <n v="27"/>
    <x v="0"/>
    <n v="9"/>
    <n v="47353"/>
    <x v="0"/>
    <n v="426177"/>
    <n v="0"/>
    <n v="426177"/>
  </r>
  <r>
    <n v="10707"/>
    <x v="706"/>
    <x v="0"/>
    <x v="0"/>
    <x v="2"/>
    <x v="4"/>
    <n v="23"/>
    <x v="1"/>
    <n v="1"/>
    <n v="45394"/>
    <x v="4"/>
    <n v="45394"/>
    <n v="2269.6999999999998"/>
    <n v="43124.3"/>
  </r>
  <r>
    <n v="10708"/>
    <x v="707"/>
    <x v="0"/>
    <x v="1"/>
    <x v="2"/>
    <x v="6"/>
    <n v="26"/>
    <x v="0"/>
    <n v="7"/>
    <n v="25475"/>
    <x v="4"/>
    <n v="178325"/>
    <n v="8916.25"/>
    <n v="169408.75"/>
  </r>
  <r>
    <n v="10709"/>
    <x v="708"/>
    <x v="3"/>
    <x v="1"/>
    <x v="1"/>
    <x v="3"/>
    <n v="40"/>
    <x v="4"/>
    <n v="7"/>
    <n v="11023"/>
    <x v="2"/>
    <n v="77161"/>
    <n v="15432.2"/>
    <n v="61728.800000000003"/>
  </r>
  <r>
    <n v="10710"/>
    <x v="709"/>
    <x v="0"/>
    <x v="1"/>
    <x v="3"/>
    <x v="0"/>
    <n v="36"/>
    <x v="4"/>
    <n v="9"/>
    <n v="18659"/>
    <x v="0"/>
    <n v="167931"/>
    <n v="0"/>
    <n v="167931"/>
  </r>
  <r>
    <n v="10711"/>
    <x v="710"/>
    <x v="1"/>
    <x v="2"/>
    <x v="3"/>
    <x v="5"/>
    <n v="30"/>
    <x v="0"/>
    <n v="6"/>
    <n v="11194"/>
    <x v="1"/>
    <n v="67164"/>
    <n v="10074.6"/>
    <n v="57089.4"/>
  </r>
  <r>
    <n v="10712"/>
    <x v="711"/>
    <x v="1"/>
    <x v="3"/>
    <x v="1"/>
    <x v="5"/>
    <n v="26"/>
    <x v="0"/>
    <n v="8"/>
    <n v="13536"/>
    <x v="1"/>
    <n v="108288"/>
    <n v="16243.2"/>
    <n v="92044.800000000003"/>
  </r>
  <r>
    <n v="10713"/>
    <x v="712"/>
    <x v="0"/>
    <x v="0"/>
    <x v="3"/>
    <x v="5"/>
    <n v="37"/>
    <x v="4"/>
    <n v="3"/>
    <n v="30111"/>
    <x v="4"/>
    <n v="90333"/>
    <n v="4516.6499999999996"/>
    <n v="85816.35"/>
  </r>
  <r>
    <n v="10714"/>
    <x v="713"/>
    <x v="3"/>
    <x v="3"/>
    <x v="1"/>
    <x v="5"/>
    <n v="18"/>
    <x v="1"/>
    <n v="2"/>
    <n v="20083"/>
    <x v="3"/>
    <n v="40166"/>
    <n v="4016.6"/>
    <n v="36149.4"/>
  </r>
  <r>
    <n v="10715"/>
    <x v="714"/>
    <x v="1"/>
    <x v="4"/>
    <x v="2"/>
    <x v="7"/>
    <n v="44"/>
    <x v="4"/>
    <n v="6"/>
    <n v="19083"/>
    <x v="3"/>
    <n v="114498"/>
    <n v="11449.8"/>
    <n v="103048.2"/>
  </r>
  <r>
    <n v="10716"/>
    <x v="715"/>
    <x v="3"/>
    <x v="0"/>
    <x v="0"/>
    <x v="5"/>
    <n v="35"/>
    <x v="4"/>
    <n v="8"/>
    <n v="168"/>
    <x v="2"/>
    <n v="1344"/>
    <n v="268.8"/>
    <n v="1075.2"/>
  </r>
  <r>
    <n v="10717"/>
    <x v="716"/>
    <x v="0"/>
    <x v="3"/>
    <x v="1"/>
    <x v="5"/>
    <n v="45"/>
    <x v="3"/>
    <n v="8"/>
    <n v="42725"/>
    <x v="4"/>
    <n v="341800"/>
    <n v="17090"/>
    <n v="324710"/>
  </r>
  <r>
    <n v="10718"/>
    <x v="717"/>
    <x v="1"/>
    <x v="2"/>
    <x v="1"/>
    <x v="1"/>
    <n v="60"/>
    <x v="2"/>
    <n v="6"/>
    <n v="33611"/>
    <x v="4"/>
    <n v="201666"/>
    <n v="10083.299999999999"/>
    <n v="191582.7"/>
  </r>
  <r>
    <n v="10719"/>
    <x v="718"/>
    <x v="1"/>
    <x v="4"/>
    <x v="1"/>
    <x v="0"/>
    <n v="46"/>
    <x v="3"/>
    <n v="4"/>
    <n v="33778"/>
    <x v="2"/>
    <n v="135112"/>
    <n v="27022.400000000001"/>
    <n v="108089.60000000001"/>
  </r>
  <r>
    <n v="10720"/>
    <x v="719"/>
    <x v="1"/>
    <x v="2"/>
    <x v="1"/>
    <x v="3"/>
    <n v="56"/>
    <x v="2"/>
    <n v="3"/>
    <n v="1206"/>
    <x v="2"/>
    <n v="3618"/>
    <n v="723.6"/>
    <n v="2894.4"/>
  </r>
  <r>
    <n v="10721"/>
    <x v="720"/>
    <x v="3"/>
    <x v="3"/>
    <x v="3"/>
    <x v="2"/>
    <n v="32"/>
    <x v="0"/>
    <n v="2"/>
    <n v="3889"/>
    <x v="0"/>
    <n v="7778"/>
    <n v="0"/>
    <n v="7778"/>
  </r>
  <r>
    <n v="10722"/>
    <x v="721"/>
    <x v="0"/>
    <x v="3"/>
    <x v="0"/>
    <x v="6"/>
    <n v="38"/>
    <x v="4"/>
    <n v="5"/>
    <n v="9768"/>
    <x v="4"/>
    <n v="48840"/>
    <n v="2442"/>
    <n v="46398"/>
  </r>
  <r>
    <n v="10723"/>
    <x v="722"/>
    <x v="1"/>
    <x v="4"/>
    <x v="1"/>
    <x v="2"/>
    <n v="63"/>
    <x v="2"/>
    <n v="5"/>
    <n v="23939"/>
    <x v="3"/>
    <n v="119695"/>
    <n v="11969.5"/>
    <n v="107725.5"/>
  </r>
  <r>
    <n v="10724"/>
    <x v="723"/>
    <x v="1"/>
    <x v="2"/>
    <x v="0"/>
    <x v="0"/>
    <n v="46"/>
    <x v="3"/>
    <n v="1"/>
    <n v="9116"/>
    <x v="1"/>
    <n v="9116"/>
    <n v="1367.4"/>
    <n v="7748.6"/>
  </r>
  <r>
    <n v="10725"/>
    <x v="724"/>
    <x v="2"/>
    <x v="3"/>
    <x v="1"/>
    <x v="2"/>
    <n v="33"/>
    <x v="0"/>
    <n v="4"/>
    <n v="36489"/>
    <x v="2"/>
    <n v="145956"/>
    <n v="29191.200000000001"/>
    <n v="116764.8"/>
  </r>
  <r>
    <n v="10726"/>
    <x v="725"/>
    <x v="2"/>
    <x v="3"/>
    <x v="3"/>
    <x v="3"/>
    <n v="51"/>
    <x v="3"/>
    <n v="7"/>
    <n v="10241"/>
    <x v="3"/>
    <n v="71687"/>
    <n v="7168.7"/>
    <n v="64518.3"/>
  </r>
  <r>
    <n v="10727"/>
    <x v="726"/>
    <x v="0"/>
    <x v="1"/>
    <x v="0"/>
    <x v="4"/>
    <n v="43"/>
    <x v="4"/>
    <n v="2"/>
    <n v="22419"/>
    <x v="3"/>
    <n v="44838"/>
    <n v="4483.8"/>
    <n v="40354.199999999997"/>
  </r>
  <r>
    <n v="10728"/>
    <x v="727"/>
    <x v="2"/>
    <x v="3"/>
    <x v="0"/>
    <x v="4"/>
    <n v="24"/>
    <x v="1"/>
    <n v="9"/>
    <n v="28969"/>
    <x v="1"/>
    <n v="260721"/>
    <n v="39108.15"/>
    <n v="221612.85"/>
  </r>
  <r>
    <n v="10729"/>
    <x v="728"/>
    <x v="0"/>
    <x v="2"/>
    <x v="2"/>
    <x v="4"/>
    <n v="32"/>
    <x v="0"/>
    <n v="7"/>
    <n v="5225"/>
    <x v="3"/>
    <n v="36575"/>
    <n v="3657.5"/>
    <n v="32917.5"/>
  </r>
  <r>
    <n v="10730"/>
    <x v="729"/>
    <x v="0"/>
    <x v="2"/>
    <x v="1"/>
    <x v="7"/>
    <n v="44"/>
    <x v="4"/>
    <n v="9"/>
    <n v="20230"/>
    <x v="4"/>
    <n v="182070"/>
    <n v="9103.5"/>
    <n v="172966.5"/>
  </r>
  <r>
    <n v="10731"/>
    <x v="730"/>
    <x v="3"/>
    <x v="2"/>
    <x v="3"/>
    <x v="3"/>
    <n v="62"/>
    <x v="2"/>
    <n v="1"/>
    <n v="42147"/>
    <x v="4"/>
    <n v="42147"/>
    <n v="2107.35"/>
    <n v="40039.65"/>
  </r>
  <r>
    <n v="10732"/>
    <x v="731"/>
    <x v="3"/>
    <x v="1"/>
    <x v="0"/>
    <x v="5"/>
    <n v="33"/>
    <x v="0"/>
    <n v="3"/>
    <n v="36382"/>
    <x v="0"/>
    <n v="109146"/>
    <n v="0"/>
    <n v="109146"/>
  </r>
  <r>
    <n v="10733"/>
    <x v="732"/>
    <x v="1"/>
    <x v="0"/>
    <x v="0"/>
    <x v="2"/>
    <n v="19"/>
    <x v="1"/>
    <n v="7"/>
    <n v="4052"/>
    <x v="0"/>
    <n v="28364"/>
    <n v="0"/>
    <n v="28364"/>
  </r>
  <r>
    <n v="10734"/>
    <x v="733"/>
    <x v="3"/>
    <x v="1"/>
    <x v="1"/>
    <x v="7"/>
    <n v="31"/>
    <x v="0"/>
    <n v="2"/>
    <n v="24300"/>
    <x v="4"/>
    <n v="48600"/>
    <n v="2430"/>
    <n v="46170"/>
  </r>
  <r>
    <n v="10735"/>
    <x v="734"/>
    <x v="2"/>
    <x v="3"/>
    <x v="3"/>
    <x v="2"/>
    <n v="57"/>
    <x v="2"/>
    <n v="8"/>
    <n v="25497"/>
    <x v="2"/>
    <n v="203976"/>
    <n v="40795.199999999997"/>
    <n v="163180.79999999999"/>
  </r>
  <r>
    <n v="10736"/>
    <x v="735"/>
    <x v="2"/>
    <x v="4"/>
    <x v="1"/>
    <x v="7"/>
    <n v="44"/>
    <x v="4"/>
    <n v="3"/>
    <n v="35208"/>
    <x v="4"/>
    <n v="105624"/>
    <n v="5281.2"/>
    <n v="100342.8"/>
  </r>
  <r>
    <n v="10737"/>
    <x v="736"/>
    <x v="3"/>
    <x v="0"/>
    <x v="0"/>
    <x v="7"/>
    <n v="41"/>
    <x v="4"/>
    <n v="9"/>
    <n v="19886"/>
    <x v="3"/>
    <n v="178974"/>
    <n v="17897.400000000001"/>
    <n v="161076.6"/>
  </r>
  <r>
    <n v="10738"/>
    <x v="737"/>
    <x v="2"/>
    <x v="0"/>
    <x v="2"/>
    <x v="3"/>
    <n v="47"/>
    <x v="3"/>
    <n v="2"/>
    <n v="7536"/>
    <x v="1"/>
    <n v="15072"/>
    <n v="2260.8000000000002"/>
    <n v="12811.2"/>
  </r>
  <r>
    <n v="10739"/>
    <x v="738"/>
    <x v="3"/>
    <x v="3"/>
    <x v="3"/>
    <x v="6"/>
    <n v="28"/>
    <x v="0"/>
    <n v="8"/>
    <n v="46718"/>
    <x v="2"/>
    <n v="373744"/>
    <n v="74748.800000000003"/>
    <n v="298995.20000000001"/>
  </r>
  <r>
    <n v="10740"/>
    <x v="739"/>
    <x v="1"/>
    <x v="2"/>
    <x v="2"/>
    <x v="1"/>
    <n v="26"/>
    <x v="0"/>
    <n v="5"/>
    <n v="22704"/>
    <x v="0"/>
    <n v="113520"/>
    <n v="0"/>
    <n v="113520"/>
  </r>
  <r>
    <n v="10741"/>
    <x v="740"/>
    <x v="1"/>
    <x v="1"/>
    <x v="3"/>
    <x v="1"/>
    <n v="59"/>
    <x v="2"/>
    <n v="7"/>
    <n v="46822"/>
    <x v="4"/>
    <n v="327754"/>
    <n v="16387.7"/>
    <n v="311366.3"/>
  </r>
  <r>
    <n v="10742"/>
    <x v="741"/>
    <x v="0"/>
    <x v="0"/>
    <x v="2"/>
    <x v="0"/>
    <n v="47"/>
    <x v="3"/>
    <n v="3"/>
    <n v="35257"/>
    <x v="3"/>
    <n v="105771"/>
    <n v="10577.1"/>
    <n v="95193.9"/>
  </r>
  <r>
    <n v="10743"/>
    <x v="742"/>
    <x v="3"/>
    <x v="0"/>
    <x v="3"/>
    <x v="5"/>
    <n v="37"/>
    <x v="4"/>
    <n v="3"/>
    <n v="7210"/>
    <x v="1"/>
    <n v="21630"/>
    <n v="3244.5"/>
    <n v="18385.5"/>
  </r>
  <r>
    <n v="10744"/>
    <x v="743"/>
    <x v="2"/>
    <x v="4"/>
    <x v="2"/>
    <x v="3"/>
    <n v="20"/>
    <x v="1"/>
    <n v="1"/>
    <n v="22776"/>
    <x v="4"/>
    <n v="22776"/>
    <n v="1138.8"/>
    <n v="21637.200000000001"/>
  </r>
  <r>
    <n v="10745"/>
    <x v="744"/>
    <x v="0"/>
    <x v="4"/>
    <x v="2"/>
    <x v="5"/>
    <n v="54"/>
    <x v="3"/>
    <n v="7"/>
    <n v="4045"/>
    <x v="1"/>
    <n v="28315"/>
    <n v="4247.25"/>
    <n v="24067.75"/>
  </r>
  <r>
    <n v="10746"/>
    <x v="745"/>
    <x v="2"/>
    <x v="1"/>
    <x v="1"/>
    <x v="3"/>
    <n v="40"/>
    <x v="4"/>
    <n v="1"/>
    <n v="9619"/>
    <x v="2"/>
    <n v="9619"/>
    <n v="1923.8"/>
    <n v="7695.2"/>
  </r>
  <r>
    <n v="10747"/>
    <x v="746"/>
    <x v="1"/>
    <x v="2"/>
    <x v="0"/>
    <x v="4"/>
    <n v="52"/>
    <x v="3"/>
    <n v="8"/>
    <n v="18834"/>
    <x v="1"/>
    <n v="150672"/>
    <n v="22600.799999999999"/>
    <n v="128071.2"/>
  </r>
  <r>
    <n v="10748"/>
    <x v="747"/>
    <x v="2"/>
    <x v="0"/>
    <x v="0"/>
    <x v="0"/>
    <n v="48"/>
    <x v="3"/>
    <n v="9"/>
    <n v="15076"/>
    <x v="4"/>
    <n v="135684"/>
    <n v="6784.2"/>
    <n v="128899.8"/>
  </r>
  <r>
    <n v="10749"/>
    <x v="748"/>
    <x v="3"/>
    <x v="0"/>
    <x v="1"/>
    <x v="5"/>
    <n v="39"/>
    <x v="4"/>
    <n v="7"/>
    <n v="9752"/>
    <x v="3"/>
    <n v="68264"/>
    <n v="6826.4"/>
    <n v="61437.599999999999"/>
  </r>
  <r>
    <n v="10750"/>
    <x v="749"/>
    <x v="0"/>
    <x v="0"/>
    <x v="3"/>
    <x v="5"/>
    <n v="52"/>
    <x v="3"/>
    <n v="1"/>
    <n v="33733"/>
    <x v="4"/>
    <n v="33733"/>
    <n v="1686.65"/>
    <n v="32046.35"/>
  </r>
  <r>
    <n v="10751"/>
    <x v="750"/>
    <x v="1"/>
    <x v="0"/>
    <x v="1"/>
    <x v="1"/>
    <n v="55"/>
    <x v="2"/>
    <n v="5"/>
    <n v="36585"/>
    <x v="3"/>
    <n v="182925"/>
    <n v="18292.5"/>
    <n v="164632.5"/>
  </r>
  <r>
    <n v="10752"/>
    <x v="751"/>
    <x v="1"/>
    <x v="3"/>
    <x v="0"/>
    <x v="1"/>
    <n v="57"/>
    <x v="2"/>
    <n v="9"/>
    <n v="9204"/>
    <x v="3"/>
    <n v="82836"/>
    <n v="8283.6"/>
    <n v="74552.399999999994"/>
  </r>
  <r>
    <n v="10753"/>
    <x v="752"/>
    <x v="3"/>
    <x v="0"/>
    <x v="1"/>
    <x v="4"/>
    <n v="46"/>
    <x v="3"/>
    <n v="6"/>
    <n v="12944"/>
    <x v="4"/>
    <n v="77664"/>
    <n v="3883.2"/>
    <n v="73780.800000000003"/>
  </r>
  <r>
    <n v="10754"/>
    <x v="753"/>
    <x v="1"/>
    <x v="1"/>
    <x v="1"/>
    <x v="4"/>
    <n v="29"/>
    <x v="0"/>
    <n v="8"/>
    <n v="16459"/>
    <x v="1"/>
    <n v="131672"/>
    <n v="19750.8"/>
    <n v="111921.2"/>
  </r>
  <r>
    <n v="10755"/>
    <x v="754"/>
    <x v="2"/>
    <x v="0"/>
    <x v="2"/>
    <x v="0"/>
    <n v="64"/>
    <x v="2"/>
    <n v="8"/>
    <n v="29953"/>
    <x v="3"/>
    <n v="239624"/>
    <n v="23962.400000000001"/>
    <n v="215661.6"/>
  </r>
  <r>
    <n v="10756"/>
    <x v="755"/>
    <x v="3"/>
    <x v="2"/>
    <x v="2"/>
    <x v="2"/>
    <n v="20"/>
    <x v="1"/>
    <n v="3"/>
    <n v="16698"/>
    <x v="1"/>
    <n v="50094"/>
    <n v="7514.1"/>
    <n v="42579.9"/>
  </r>
  <r>
    <n v="10757"/>
    <x v="756"/>
    <x v="2"/>
    <x v="2"/>
    <x v="1"/>
    <x v="0"/>
    <n v="21"/>
    <x v="1"/>
    <n v="1"/>
    <n v="38742"/>
    <x v="0"/>
    <n v="38742"/>
    <n v="0"/>
    <n v="38742"/>
  </r>
  <r>
    <n v="10758"/>
    <x v="757"/>
    <x v="0"/>
    <x v="0"/>
    <x v="0"/>
    <x v="5"/>
    <n v="40"/>
    <x v="4"/>
    <n v="5"/>
    <n v="5109"/>
    <x v="4"/>
    <n v="25545"/>
    <n v="1277.25"/>
    <n v="24267.75"/>
  </r>
  <r>
    <n v="10759"/>
    <x v="758"/>
    <x v="1"/>
    <x v="1"/>
    <x v="2"/>
    <x v="5"/>
    <n v="28"/>
    <x v="0"/>
    <n v="3"/>
    <n v="10564"/>
    <x v="1"/>
    <n v="31692"/>
    <n v="4753.8"/>
    <n v="26938.2"/>
  </r>
  <r>
    <n v="10760"/>
    <x v="759"/>
    <x v="1"/>
    <x v="0"/>
    <x v="2"/>
    <x v="0"/>
    <n v="45"/>
    <x v="3"/>
    <n v="4"/>
    <n v="17412"/>
    <x v="0"/>
    <n v="69648"/>
    <n v="0"/>
    <n v="69648"/>
  </r>
  <r>
    <n v="10761"/>
    <x v="760"/>
    <x v="1"/>
    <x v="0"/>
    <x v="1"/>
    <x v="2"/>
    <n v="19"/>
    <x v="1"/>
    <n v="6"/>
    <n v="35122"/>
    <x v="2"/>
    <n v="210732"/>
    <n v="42146.400000000001"/>
    <n v="168585.60000000001"/>
  </r>
  <r>
    <n v="10762"/>
    <x v="761"/>
    <x v="2"/>
    <x v="2"/>
    <x v="1"/>
    <x v="1"/>
    <n v="24"/>
    <x v="1"/>
    <n v="3"/>
    <n v="47845"/>
    <x v="0"/>
    <n v="143535"/>
    <n v="0"/>
    <n v="143535"/>
  </r>
  <r>
    <n v="10763"/>
    <x v="762"/>
    <x v="1"/>
    <x v="4"/>
    <x v="3"/>
    <x v="3"/>
    <n v="61"/>
    <x v="2"/>
    <n v="8"/>
    <n v="19961"/>
    <x v="3"/>
    <n v="159688"/>
    <n v="15968.8"/>
    <n v="143719.20000000001"/>
  </r>
  <r>
    <n v="10764"/>
    <x v="763"/>
    <x v="2"/>
    <x v="2"/>
    <x v="1"/>
    <x v="3"/>
    <n v="30"/>
    <x v="0"/>
    <n v="2"/>
    <n v="17764"/>
    <x v="0"/>
    <n v="35528"/>
    <n v="0"/>
    <n v="35528"/>
  </r>
  <r>
    <n v="10765"/>
    <x v="764"/>
    <x v="1"/>
    <x v="3"/>
    <x v="3"/>
    <x v="2"/>
    <n v="48"/>
    <x v="3"/>
    <n v="7"/>
    <n v="40416"/>
    <x v="4"/>
    <n v="282912"/>
    <n v="14145.6"/>
    <n v="268766.40000000002"/>
  </r>
  <r>
    <n v="10766"/>
    <x v="765"/>
    <x v="2"/>
    <x v="4"/>
    <x v="0"/>
    <x v="3"/>
    <n v="21"/>
    <x v="1"/>
    <n v="2"/>
    <n v="43129"/>
    <x v="1"/>
    <n v="86258"/>
    <n v="12938.7"/>
    <n v="73319.3"/>
  </r>
  <r>
    <n v="10767"/>
    <x v="766"/>
    <x v="2"/>
    <x v="3"/>
    <x v="3"/>
    <x v="3"/>
    <n v="58"/>
    <x v="2"/>
    <n v="4"/>
    <n v="1976"/>
    <x v="2"/>
    <n v="7904"/>
    <n v="1580.8"/>
    <n v="6323.2"/>
  </r>
  <r>
    <n v="10768"/>
    <x v="767"/>
    <x v="3"/>
    <x v="2"/>
    <x v="0"/>
    <x v="2"/>
    <n v="33"/>
    <x v="0"/>
    <n v="7"/>
    <n v="15935"/>
    <x v="0"/>
    <n v="111545"/>
    <n v="0"/>
    <n v="111545"/>
  </r>
  <r>
    <n v="10769"/>
    <x v="768"/>
    <x v="3"/>
    <x v="0"/>
    <x v="0"/>
    <x v="3"/>
    <n v="63"/>
    <x v="2"/>
    <n v="5"/>
    <n v="36531"/>
    <x v="3"/>
    <n v="182655"/>
    <n v="18265.5"/>
    <n v="164389.5"/>
  </r>
  <r>
    <n v="10770"/>
    <x v="769"/>
    <x v="1"/>
    <x v="3"/>
    <x v="0"/>
    <x v="7"/>
    <n v="25"/>
    <x v="0"/>
    <n v="9"/>
    <n v="21784"/>
    <x v="3"/>
    <n v="196056"/>
    <n v="19605.599999999999"/>
    <n v="176450.4"/>
  </r>
  <r>
    <n v="10771"/>
    <x v="770"/>
    <x v="2"/>
    <x v="2"/>
    <x v="1"/>
    <x v="5"/>
    <n v="60"/>
    <x v="2"/>
    <n v="9"/>
    <n v="20006"/>
    <x v="0"/>
    <n v="180054"/>
    <n v="0"/>
    <n v="180054"/>
  </r>
  <r>
    <n v="10772"/>
    <x v="771"/>
    <x v="3"/>
    <x v="2"/>
    <x v="0"/>
    <x v="3"/>
    <n v="21"/>
    <x v="1"/>
    <n v="7"/>
    <n v="30143"/>
    <x v="0"/>
    <n v="211001"/>
    <n v="0"/>
    <n v="211001"/>
  </r>
  <r>
    <n v="10773"/>
    <x v="772"/>
    <x v="3"/>
    <x v="1"/>
    <x v="1"/>
    <x v="6"/>
    <n v="43"/>
    <x v="4"/>
    <n v="7"/>
    <n v="26674"/>
    <x v="2"/>
    <n v="186718"/>
    <n v="37343.599999999999"/>
    <n v="149374.39999999999"/>
  </r>
  <r>
    <n v="10774"/>
    <x v="773"/>
    <x v="0"/>
    <x v="2"/>
    <x v="0"/>
    <x v="6"/>
    <n v="30"/>
    <x v="0"/>
    <n v="4"/>
    <n v="13635"/>
    <x v="0"/>
    <n v="54540"/>
    <n v="0"/>
    <n v="54540"/>
  </r>
  <r>
    <n v="10775"/>
    <x v="774"/>
    <x v="1"/>
    <x v="3"/>
    <x v="3"/>
    <x v="5"/>
    <n v="53"/>
    <x v="3"/>
    <n v="2"/>
    <n v="49389"/>
    <x v="1"/>
    <n v="98778"/>
    <n v="14816.7"/>
    <n v="83961.3"/>
  </r>
  <r>
    <n v="10776"/>
    <x v="775"/>
    <x v="1"/>
    <x v="1"/>
    <x v="0"/>
    <x v="0"/>
    <n v="28"/>
    <x v="0"/>
    <n v="6"/>
    <n v="13025"/>
    <x v="0"/>
    <n v="78150"/>
    <n v="0"/>
    <n v="78150"/>
  </r>
  <r>
    <n v="10777"/>
    <x v="776"/>
    <x v="0"/>
    <x v="4"/>
    <x v="0"/>
    <x v="0"/>
    <n v="29"/>
    <x v="0"/>
    <n v="2"/>
    <n v="26351"/>
    <x v="4"/>
    <n v="52702"/>
    <n v="2635.1"/>
    <n v="50066.9"/>
  </r>
  <r>
    <n v="10778"/>
    <x v="777"/>
    <x v="3"/>
    <x v="1"/>
    <x v="0"/>
    <x v="2"/>
    <n v="55"/>
    <x v="2"/>
    <n v="9"/>
    <n v="27960"/>
    <x v="3"/>
    <n v="251640"/>
    <n v="25164"/>
    <n v="226476"/>
  </r>
  <r>
    <n v="10779"/>
    <x v="778"/>
    <x v="2"/>
    <x v="0"/>
    <x v="3"/>
    <x v="5"/>
    <n v="52"/>
    <x v="3"/>
    <n v="6"/>
    <n v="3441"/>
    <x v="1"/>
    <n v="20646"/>
    <n v="3096.9"/>
    <n v="17549.099999999999"/>
  </r>
  <r>
    <n v="10780"/>
    <x v="779"/>
    <x v="2"/>
    <x v="1"/>
    <x v="1"/>
    <x v="3"/>
    <n v="23"/>
    <x v="1"/>
    <n v="7"/>
    <n v="27924"/>
    <x v="4"/>
    <n v="195468"/>
    <n v="9773.4"/>
    <n v="185694.6"/>
  </r>
  <r>
    <n v="10781"/>
    <x v="780"/>
    <x v="0"/>
    <x v="4"/>
    <x v="2"/>
    <x v="1"/>
    <n v="51"/>
    <x v="3"/>
    <n v="7"/>
    <n v="16223"/>
    <x v="4"/>
    <n v="113561"/>
    <n v="5678.05"/>
    <n v="107882.95"/>
  </r>
  <r>
    <n v="10782"/>
    <x v="781"/>
    <x v="3"/>
    <x v="3"/>
    <x v="1"/>
    <x v="0"/>
    <n v="46"/>
    <x v="3"/>
    <n v="2"/>
    <n v="46596"/>
    <x v="4"/>
    <n v="93192"/>
    <n v="4659.6000000000004"/>
    <n v="88532.4"/>
  </r>
  <r>
    <n v="10783"/>
    <x v="782"/>
    <x v="3"/>
    <x v="1"/>
    <x v="1"/>
    <x v="1"/>
    <n v="39"/>
    <x v="4"/>
    <n v="1"/>
    <n v="11093"/>
    <x v="0"/>
    <n v="11093"/>
    <n v="0"/>
    <n v="11093"/>
  </r>
  <r>
    <n v="10784"/>
    <x v="783"/>
    <x v="3"/>
    <x v="1"/>
    <x v="3"/>
    <x v="1"/>
    <n v="39"/>
    <x v="4"/>
    <n v="4"/>
    <n v="37815"/>
    <x v="4"/>
    <n v="151260"/>
    <n v="7563"/>
    <n v="143697"/>
  </r>
  <r>
    <n v="10785"/>
    <x v="784"/>
    <x v="0"/>
    <x v="2"/>
    <x v="1"/>
    <x v="6"/>
    <n v="29"/>
    <x v="0"/>
    <n v="1"/>
    <n v="9093"/>
    <x v="3"/>
    <n v="9093"/>
    <n v="909.3"/>
    <n v="8183.7"/>
  </r>
  <r>
    <n v="10786"/>
    <x v="785"/>
    <x v="0"/>
    <x v="1"/>
    <x v="3"/>
    <x v="4"/>
    <n v="61"/>
    <x v="2"/>
    <n v="3"/>
    <n v="8654"/>
    <x v="0"/>
    <n v="25962"/>
    <n v="0"/>
    <n v="25962"/>
  </r>
  <r>
    <n v="10787"/>
    <x v="786"/>
    <x v="3"/>
    <x v="4"/>
    <x v="3"/>
    <x v="4"/>
    <n v="21"/>
    <x v="1"/>
    <n v="8"/>
    <n v="9693"/>
    <x v="2"/>
    <n v="77544"/>
    <n v="15508.8"/>
    <n v="62035.199999999997"/>
  </r>
  <r>
    <n v="10788"/>
    <x v="787"/>
    <x v="2"/>
    <x v="1"/>
    <x v="2"/>
    <x v="3"/>
    <n v="38"/>
    <x v="4"/>
    <n v="4"/>
    <n v="18765"/>
    <x v="4"/>
    <n v="75060"/>
    <n v="3753"/>
    <n v="71307"/>
  </r>
  <r>
    <n v="10789"/>
    <x v="788"/>
    <x v="3"/>
    <x v="1"/>
    <x v="3"/>
    <x v="6"/>
    <n v="24"/>
    <x v="1"/>
    <n v="1"/>
    <n v="41783"/>
    <x v="0"/>
    <n v="41783"/>
    <n v="0"/>
    <n v="41783"/>
  </r>
  <r>
    <n v="10790"/>
    <x v="789"/>
    <x v="1"/>
    <x v="2"/>
    <x v="2"/>
    <x v="6"/>
    <n v="19"/>
    <x v="1"/>
    <n v="3"/>
    <n v="2521"/>
    <x v="0"/>
    <n v="7563"/>
    <n v="0"/>
    <n v="7563"/>
  </r>
  <r>
    <n v="10791"/>
    <x v="790"/>
    <x v="0"/>
    <x v="2"/>
    <x v="0"/>
    <x v="1"/>
    <n v="19"/>
    <x v="1"/>
    <n v="6"/>
    <n v="2714"/>
    <x v="3"/>
    <n v="16284"/>
    <n v="1628.4"/>
    <n v="14655.6"/>
  </r>
  <r>
    <n v="10792"/>
    <x v="791"/>
    <x v="3"/>
    <x v="2"/>
    <x v="3"/>
    <x v="6"/>
    <n v="50"/>
    <x v="3"/>
    <n v="9"/>
    <n v="34860"/>
    <x v="3"/>
    <n v="313740"/>
    <n v="31374"/>
    <n v="282366"/>
  </r>
  <r>
    <n v="10793"/>
    <x v="792"/>
    <x v="1"/>
    <x v="1"/>
    <x v="2"/>
    <x v="7"/>
    <n v="36"/>
    <x v="4"/>
    <n v="4"/>
    <n v="26283"/>
    <x v="1"/>
    <n v="105132"/>
    <n v="15769.8"/>
    <n v="89362.2"/>
  </r>
  <r>
    <n v="10794"/>
    <x v="793"/>
    <x v="0"/>
    <x v="4"/>
    <x v="3"/>
    <x v="7"/>
    <n v="25"/>
    <x v="0"/>
    <n v="4"/>
    <n v="8092"/>
    <x v="2"/>
    <n v="32368"/>
    <n v="6473.6"/>
    <n v="25894.400000000001"/>
  </r>
  <r>
    <n v="10795"/>
    <x v="794"/>
    <x v="0"/>
    <x v="0"/>
    <x v="1"/>
    <x v="3"/>
    <n v="24"/>
    <x v="1"/>
    <n v="2"/>
    <n v="5125"/>
    <x v="2"/>
    <n v="10250"/>
    <n v="2050"/>
    <n v="8200"/>
  </r>
  <r>
    <n v="10796"/>
    <x v="795"/>
    <x v="0"/>
    <x v="2"/>
    <x v="2"/>
    <x v="0"/>
    <n v="64"/>
    <x v="2"/>
    <n v="9"/>
    <n v="30105"/>
    <x v="4"/>
    <n v="270945"/>
    <n v="13547.25"/>
    <n v="257397.75"/>
  </r>
  <r>
    <n v="10797"/>
    <x v="796"/>
    <x v="1"/>
    <x v="3"/>
    <x v="3"/>
    <x v="0"/>
    <n v="61"/>
    <x v="2"/>
    <n v="4"/>
    <n v="26536"/>
    <x v="1"/>
    <n v="106144"/>
    <n v="15921.6"/>
    <n v="90222.399999999994"/>
  </r>
  <r>
    <n v="10798"/>
    <x v="797"/>
    <x v="1"/>
    <x v="1"/>
    <x v="2"/>
    <x v="5"/>
    <n v="54"/>
    <x v="3"/>
    <n v="2"/>
    <n v="2965"/>
    <x v="1"/>
    <n v="5930"/>
    <n v="889.5"/>
    <n v="5040.5"/>
  </r>
  <r>
    <n v="10799"/>
    <x v="798"/>
    <x v="3"/>
    <x v="4"/>
    <x v="1"/>
    <x v="2"/>
    <n v="43"/>
    <x v="4"/>
    <n v="6"/>
    <n v="19079"/>
    <x v="3"/>
    <n v="114474"/>
    <n v="11447.4"/>
    <n v="103026.6"/>
  </r>
  <r>
    <n v="10800"/>
    <x v="799"/>
    <x v="1"/>
    <x v="1"/>
    <x v="0"/>
    <x v="1"/>
    <n v="62"/>
    <x v="2"/>
    <n v="3"/>
    <n v="12968"/>
    <x v="4"/>
    <n v="38904"/>
    <n v="1945.2"/>
    <n v="36958.800000000003"/>
  </r>
  <r>
    <n v="10801"/>
    <x v="800"/>
    <x v="1"/>
    <x v="2"/>
    <x v="1"/>
    <x v="0"/>
    <n v="52"/>
    <x v="3"/>
    <n v="3"/>
    <n v="26283"/>
    <x v="4"/>
    <n v="78849"/>
    <n v="3942.45"/>
    <n v="74906.55"/>
  </r>
  <r>
    <n v="10802"/>
    <x v="801"/>
    <x v="2"/>
    <x v="2"/>
    <x v="2"/>
    <x v="6"/>
    <n v="25"/>
    <x v="0"/>
    <n v="6"/>
    <n v="43591"/>
    <x v="1"/>
    <n v="261546"/>
    <n v="39231.9"/>
    <n v="222314.1"/>
  </r>
  <r>
    <n v="10803"/>
    <x v="802"/>
    <x v="2"/>
    <x v="1"/>
    <x v="0"/>
    <x v="7"/>
    <n v="48"/>
    <x v="3"/>
    <n v="7"/>
    <n v="19783"/>
    <x v="0"/>
    <n v="138481"/>
    <n v="0"/>
    <n v="138481"/>
  </r>
  <r>
    <n v="10804"/>
    <x v="803"/>
    <x v="1"/>
    <x v="3"/>
    <x v="0"/>
    <x v="5"/>
    <n v="29"/>
    <x v="0"/>
    <n v="3"/>
    <n v="24855"/>
    <x v="4"/>
    <n v="74565"/>
    <n v="3728.25"/>
    <n v="70836.75"/>
  </r>
  <r>
    <n v="10805"/>
    <x v="804"/>
    <x v="1"/>
    <x v="0"/>
    <x v="1"/>
    <x v="5"/>
    <n v="30"/>
    <x v="0"/>
    <n v="2"/>
    <n v="49604"/>
    <x v="3"/>
    <n v="99208"/>
    <n v="9920.7999999999993"/>
    <n v="89287.2"/>
  </r>
  <r>
    <n v="10806"/>
    <x v="805"/>
    <x v="0"/>
    <x v="1"/>
    <x v="0"/>
    <x v="7"/>
    <n v="33"/>
    <x v="0"/>
    <n v="2"/>
    <n v="22506"/>
    <x v="0"/>
    <n v="45012"/>
    <n v="0"/>
    <n v="45012"/>
  </r>
  <r>
    <n v="10807"/>
    <x v="806"/>
    <x v="1"/>
    <x v="0"/>
    <x v="3"/>
    <x v="1"/>
    <n v="21"/>
    <x v="1"/>
    <n v="9"/>
    <n v="3512"/>
    <x v="4"/>
    <n v="31608"/>
    <n v="1580.4"/>
    <n v="30027.599999999999"/>
  </r>
  <r>
    <n v="10808"/>
    <x v="807"/>
    <x v="1"/>
    <x v="1"/>
    <x v="2"/>
    <x v="7"/>
    <n v="23"/>
    <x v="1"/>
    <n v="6"/>
    <n v="12392"/>
    <x v="2"/>
    <n v="74352"/>
    <n v="14870.4"/>
    <n v="59481.599999999999"/>
  </r>
  <r>
    <n v="10809"/>
    <x v="808"/>
    <x v="1"/>
    <x v="2"/>
    <x v="1"/>
    <x v="7"/>
    <n v="35"/>
    <x v="4"/>
    <n v="3"/>
    <n v="35705"/>
    <x v="1"/>
    <n v="107115"/>
    <n v="16067.25"/>
    <n v="91047.75"/>
  </r>
  <r>
    <n v="10810"/>
    <x v="809"/>
    <x v="3"/>
    <x v="2"/>
    <x v="1"/>
    <x v="1"/>
    <n v="59"/>
    <x v="2"/>
    <n v="8"/>
    <n v="3783"/>
    <x v="3"/>
    <n v="30264"/>
    <n v="3026.4"/>
    <n v="27237.599999999999"/>
  </r>
  <r>
    <n v="10811"/>
    <x v="810"/>
    <x v="2"/>
    <x v="0"/>
    <x v="2"/>
    <x v="2"/>
    <n v="49"/>
    <x v="3"/>
    <n v="1"/>
    <n v="40991"/>
    <x v="3"/>
    <n v="40991"/>
    <n v="4099.1000000000004"/>
    <n v="36891.9"/>
  </r>
  <r>
    <n v="10812"/>
    <x v="811"/>
    <x v="3"/>
    <x v="1"/>
    <x v="0"/>
    <x v="3"/>
    <n v="36"/>
    <x v="4"/>
    <n v="3"/>
    <n v="33803"/>
    <x v="0"/>
    <n v="101409"/>
    <n v="0"/>
    <n v="101409"/>
  </r>
  <r>
    <n v="10813"/>
    <x v="812"/>
    <x v="3"/>
    <x v="2"/>
    <x v="3"/>
    <x v="7"/>
    <n v="51"/>
    <x v="3"/>
    <n v="1"/>
    <n v="15392"/>
    <x v="4"/>
    <n v="15392"/>
    <n v="769.6"/>
    <n v="14622.4"/>
  </r>
  <r>
    <n v="10814"/>
    <x v="813"/>
    <x v="1"/>
    <x v="2"/>
    <x v="0"/>
    <x v="4"/>
    <n v="27"/>
    <x v="0"/>
    <n v="2"/>
    <n v="47109"/>
    <x v="1"/>
    <n v="94218"/>
    <n v="14132.7"/>
    <n v="80085.3"/>
  </r>
  <r>
    <n v="10815"/>
    <x v="814"/>
    <x v="0"/>
    <x v="0"/>
    <x v="0"/>
    <x v="0"/>
    <n v="27"/>
    <x v="0"/>
    <n v="1"/>
    <n v="41063"/>
    <x v="1"/>
    <n v="41063"/>
    <n v="6159.45"/>
    <n v="34903.550000000003"/>
  </r>
  <r>
    <n v="10816"/>
    <x v="815"/>
    <x v="0"/>
    <x v="4"/>
    <x v="2"/>
    <x v="3"/>
    <n v="42"/>
    <x v="4"/>
    <n v="5"/>
    <n v="37800"/>
    <x v="0"/>
    <n v="189000"/>
    <n v="0"/>
    <n v="189000"/>
  </r>
  <r>
    <n v="10817"/>
    <x v="816"/>
    <x v="0"/>
    <x v="1"/>
    <x v="1"/>
    <x v="1"/>
    <n v="58"/>
    <x v="2"/>
    <n v="8"/>
    <n v="11754"/>
    <x v="0"/>
    <n v="94032"/>
    <n v="0"/>
    <n v="94032"/>
  </r>
  <r>
    <n v="10818"/>
    <x v="817"/>
    <x v="1"/>
    <x v="4"/>
    <x v="3"/>
    <x v="4"/>
    <n v="28"/>
    <x v="0"/>
    <n v="7"/>
    <n v="33995"/>
    <x v="0"/>
    <n v="237965"/>
    <n v="0"/>
    <n v="237965"/>
  </r>
  <r>
    <n v="10819"/>
    <x v="818"/>
    <x v="1"/>
    <x v="4"/>
    <x v="3"/>
    <x v="3"/>
    <n v="49"/>
    <x v="3"/>
    <n v="5"/>
    <n v="41835"/>
    <x v="0"/>
    <n v="209175"/>
    <n v="0"/>
    <n v="209175"/>
  </r>
  <r>
    <n v="10820"/>
    <x v="819"/>
    <x v="3"/>
    <x v="3"/>
    <x v="2"/>
    <x v="2"/>
    <n v="57"/>
    <x v="2"/>
    <n v="5"/>
    <n v="34983"/>
    <x v="1"/>
    <n v="174915"/>
    <n v="26237.25"/>
    <n v="148677.75"/>
  </r>
  <r>
    <n v="10821"/>
    <x v="820"/>
    <x v="3"/>
    <x v="3"/>
    <x v="1"/>
    <x v="4"/>
    <n v="19"/>
    <x v="1"/>
    <n v="1"/>
    <n v="47426"/>
    <x v="0"/>
    <n v="47426"/>
    <n v="0"/>
    <n v="47426"/>
  </r>
  <r>
    <n v="10822"/>
    <x v="821"/>
    <x v="0"/>
    <x v="2"/>
    <x v="1"/>
    <x v="4"/>
    <n v="37"/>
    <x v="4"/>
    <n v="9"/>
    <n v="5069"/>
    <x v="3"/>
    <n v="45621"/>
    <n v="4562.1000000000004"/>
    <n v="41058.9"/>
  </r>
  <r>
    <n v="10823"/>
    <x v="822"/>
    <x v="1"/>
    <x v="3"/>
    <x v="2"/>
    <x v="5"/>
    <n v="29"/>
    <x v="0"/>
    <n v="8"/>
    <n v="48177"/>
    <x v="0"/>
    <n v="385416"/>
    <n v="0"/>
    <n v="385416"/>
  </r>
  <r>
    <n v="10824"/>
    <x v="823"/>
    <x v="1"/>
    <x v="3"/>
    <x v="0"/>
    <x v="6"/>
    <n v="26"/>
    <x v="0"/>
    <n v="1"/>
    <n v="43077"/>
    <x v="0"/>
    <n v="43077"/>
    <n v="0"/>
    <n v="43077"/>
  </r>
  <r>
    <n v="10825"/>
    <x v="824"/>
    <x v="3"/>
    <x v="2"/>
    <x v="2"/>
    <x v="0"/>
    <n v="59"/>
    <x v="2"/>
    <n v="2"/>
    <n v="19848"/>
    <x v="1"/>
    <n v="39696"/>
    <n v="5954.4"/>
    <n v="33741.599999999999"/>
  </r>
  <r>
    <n v="10826"/>
    <x v="825"/>
    <x v="3"/>
    <x v="4"/>
    <x v="0"/>
    <x v="3"/>
    <n v="41"/>
    <x v="4"/>
    <n v="2"/>
    <n v="34094"/>
    <x v="4"/>
    <n v="68188"/>
    <n v="3409.4"/>
    <n v="64778.6"/>
  </r>
  <r>
    <n v="10827"/>
    <x v="826"/>
    <x v="0"/>
    <x v="4"/>
    <x v="1"/>
    <x v="3"/>
    <n v="60"/>
    <x v="2"/>
    <n v="7"/>
    <n v="37960"/>
    <x v="2"/>
    <n v="265720"/>
    <n v="53144"/>
    <n v="212576"/>
  </r>
  <r>
    <n v="10828"/>
    <x v="827"/>
    <x v="1"/>
    <x v="3"/>
    <x v="3"/>
    <x v="5"/>
    <n v="53"/>
    <x v="3"/>
    <n v="2"/>
    <n v="3227"/>
    <x v="2"/>
    <n v="6454"/>
    <n v="1290.8"/>
    <n v="5163.2"/>
  </r>
  <r>
    <n v="10829"/>
    <x v="828"/>
    <x v="3"/>
    <x v="4"/>
    <x v="2"/>
    <x v="0"/>
    <n v="47"/>
    <x v="3"/>
    <n v="6"/>
    <n v="39957"/>
    <x v="2"/>
    <n v="239742"/>
    <n v="47948.4"/>
    <n v="191793.6"/>
  </r>
  <r>
    <n v="10830"/>
    <x v="829"/>
    <x v="2"/>
    <x v="4"/>
    <x v="0"/>
    <x v="6"/>
    <n v="32"/>
    <x v="0"/>
    <n v="5"/>
    <n v="44213"/>
    <x v="2"/>
    <n v="221065"/>
    <n v="44213"/>
    <n v="176852"/>
  </r>
  <r>
    <n v="10831"/>
    <x v="830"/>
    <x v="2"/>
    <x v="4"/>
    <x v="0"/>
    <x v="5"/>
    <n v="56"/>
    <x v="2"/>
    <n v="9"/>
    <n v="39697"/>
    <x v="3"/>
    <n v="357273"/>
    <n v="35727.300000000003"/>
    <n v="321545.7"/>
  </r>
  <r>
    <n v="10832"/>
    <x v="831"/>
    <x v="2"/>
    <x v="4"/>
    <x v="2"/>
    <x v="1"/>
    <n v="19"/>
    <x v="1"/>
    <n v="6"/>
    <n v="34670"/>
    <x v="3"/>
    <n v="208020"/>
    <n v="20802"/>
    <n v="187218"/>
  </r>
  <r>
    <n v="10833"/>
    <x v="832"/>
    <x v="0"/>
    <x v="4"/>
    <x v="3"/>
    <x v="1"/>
    <n v="48"/>
    <x v="3"/>
    <n v="9"/>
    <n v="49523"/>
    <x v="0"/>
    <n v="445707"/>
    <n v="0"/>
    <n v="445707"/>
  </r>
  <r>
    <n v="10834"/>
    <x v="833"/>
    <x v="1"/>
    <x v="0"/>
    <x v="3"/>
    <x v="2"/>
    <n v="57"/>
    <x v="2"/>
    <n v="5"/>
    <n v="18346"/>
    <x v="4"/>
    <n v="91730"/>
    <n v="4586.5"/>
    <n v="87143.5"/>
  </r>
  <r>
    <n v="10835"/>
    <x v="834"/>
    <x v="2"/>
    <x v="4"/>
    <x v="1"/>
    <x v="3"/>
    <n v="45"/>
    <x v="3"/>
    <n v="9"/>
    <n v="24917"/>
    <x v="2"/>
    <n v="224253"/>
    <n v="44850.6"/>
    <n v="179402.4"/>
  </r>
  <r>
    <n v="10836"/>
    <x v="835"/>
    <x v="3"/>
    <x v="4"/>
    <x v="3"/>
    <x v="5"/>
    <n v="37"/>
    <x v="4"/>
    <n v="4"/>
    <n v="34427"/>
    <x v="2"/>
    <n v="137708"/>
    <n v="27541.599999999999"/>
    <n v="110166.39999999999"/>
  </r>
  <r>
    <n v="10837"/>
    <x v="836"/>
    <x v="2"/>
    <x v="2"/>
    <x v="0"/>
    <x v="4"/>
    <n v="50"/>
    <x v="3"/>
    <n v="6"/>
    <n v="44296"/>
    <x v="3"/>
    <n v="265776"/>
    <n v="26577.599999999999"/>
    <n v="239198.4"/>
  </r>
  <r>
    <n v="10838"/>
    <x v="837"/>
    <x v="2"/>
    <x v="0"/>
    <x v="1"/>
    <x v="0"/>
    <n v="29"/>
    <x v="0"/>
    <n v="2"/>
    <n v="11734"/>
    <x v="4"/>
    <n v="23468"/>
    <n v="1173.4000000000001"/>
    <n v="22294.6"/>
  </r>
  <r>
    <n v="10839"/>
    <x v="838"/>
    <x v="0"/>
    <x v="1"/>
    <x v="3"/>
    <x v="6"/>
    <n v="58"/>
    <x v="2"/>
    <n v="6"/>
    <n v="13180"/>
    <x v="1"/>
    <n v="79080"/>
    <n v="11862"/>
    <n v="67218"/>
  </r>
  <r>
    <n v="10840"/>
    <x v="839"/>
    <x v="3"/>
    <x v="4"/>
    <x v="3"/>
    <x v="7"/>
    <n v="41"/>
    <x v="4"/>
    <n v="5"/>
    <n v="6269"/>
    <x v="2"/>
    <n v="31345"/>
    <n v="6269"/>
    <n v="25076"/>
  </r>
  <r>
    <n v="10841"/>
    <x v="840"/>
    <x v="1"/>
    <x v="2"/>
    <x v="3"/>
    <x v="3"/>
    <n v="39"/>
    <x v="4"/>
    <n v="3"/>
    <n v="43860"/>
    <x v="4"/>
    <n v="131580"/>
    <n v="6579"/>
    <n v="125001"/>
  </r>
  <r>
    <n v="10842"/>
    <x v="841"/>
    <x v="1"/>
    <x v="3"/>
    <x v="2"/>
    <x v="3"/>
    <n v="18"/>
    <x v="1"/>
    <n v="4"/>
    <n v="3166"/>
    <x v="2"/>
    <n v="12664"/>
    <n v="2532.8000000000002"/>
    <n v="10131.200000000001"/>
  </r>
  <r>
    <n v="10843"/>
    <x v="842"/>
    <x v="2"/>
    <x v="4"/>
    <x v="3"/>
    <x v="0"/>
    <n v="30"/>
    <x v="0"/>
    <n v="2"/>
    <n v="18988"/>
    <x v="1"/>
    <n v="37976"/>
    <n v="5696.4"/>
    <n v="32279.599999999999"/>
  </r>
  <r>
    <n v="10844"/>
    <x v="843"/>
    <x v="3"/>
    <x v="2"/>
    <x v="1"/>
    <x v="1"/>
    <n v="26"/>
    <x v="0"/>
    <n v="9"/>
    <n v="49377"/>
    <x v="4"/>
    <n v="444393"/>
    <n v="22219.65"/>
    <n v="422173.35"/>
  </r>
  <r>
    <n v="10845"/>
    <x v="844"/>
    <x v="2"/>
    <x v="3"/>
    <x v="3"/>
    <x v="2"/>
    <n v="57"/>
    <x v="2"/>
    <n v="1"/>
    <n v="43974"/>
    <x v="4"/>
    <n v="43974"/>
    <n v="2198.6999999999998"/>
    <n v="41775.300000000003"/>
  </r>
  <r>
    <n v="10846"/>
    <x v="845"/>
    <x v="3"/>
    <x v="0"/>
    <x v="3"/>
    <x v="2"/>
    <n v="38"/>
    <x v="4"/>
    <n v="7"/>
    <n v="17328"/>
    <x v="2"/>
    <n v="121296"/>
    <n v="24259.200000000001"/>
    <n v="97036.800000000003"/>
  </r>
  <r>
    <n v="10847"/>
    <x v="846"/>
    <x v="2"/>
    <x v="3"/>
    <x v="1"/>
    <x v="7"/>
    <n v="56"/>
    <x v="2"/>
    <n v="3"/>
    <n v="42195"/>
    <x v="3"/>
    <n v="126585"/>
    <n v="12658.5"/>
    <n v="113926.5"/>
  </r>
  <r>
    <n v="10848"/>
    <x v="847"/>
    <x v="0"/>
    <x v="3"/>
    <x v="0"/>
    <x v="3"/>
    <n v="51"/>
    <x v="3"/>
    <n v="8"/>
    <n v="29411"/>
    <x v="1"/>
    <n v="235288"/>
    <n v="35293.199999999997"/>
    <n v="199994.8"/>
  </r>
  <r>
    <n v="10849"/>
    <x v="848"/>
    <x v="2"/>
    <x v="0"/>
    <x v="1"/>
    <x v="5"/>
    <n v="36"/>
    <x v="4"/>
    <n v="3"/>
    <n v="36314"/>
    <x v="3"/>
    <n v="108942"/>
    <n v="10894.2"/>
    <n v="98047.8"/>
  </r>
  <r>
    <n v="10850"/>
    <x v="849"/>
    <x v="2"/>
    <x v="3"/>
    <x v="0"/>
    <x v="2"/>
    <n v="21"/>
    <x v="1"/>
    <n v="7"/>
    <n v="18776"/>
    <x v="3"/>
    <n v="131432"/>
    <n v="13143.2"/>
    <n v="118288.8"/>
  </r>
  <r>
    <n v="10851"/>
    <x v="850"/>
    <x v="0"/>
    <x v="0"/>
    <x v="2"/>
    <x v="1"/>
    <n v="64"/>
    <x v="2"/>
    <n v="7"/>
    <n v="24158"/>
    <x v="4"/>
    <n v="169106"/>
    <n v="8455.2999999999993"/>
    <n v="160650.70000000001"/>
  </r>
  <r>
    <n v="10852"/>
    <x v="851"/>
    <x v="3"/>
    <x v="0"/>
    <x v="2"/>
    <x v="2"/>
    <n v="58"/>
    <x v="2"/>
    <n v="4"/>
    <n v="8370"/>
    <x v="3"/>
    <n v="33480"/>
    <n v="3348"/>
    <n v="30132"/>
  </r>
  <r>
    <n v="10853"/>
    <x v="852"/>
    <x v="3"/>
    <x v="1"/>
    <x v="1"/>
    <x v="3"/>
    <n v="49"/>
    <x v="3"/>
    <n v="8"/>
    <n v="6601"/>
    <x v="2"/>
    <n v="52808"/>
    <n v="10561.6"/>
    <n v="42246.400000000001"/>
  </r>
  <r>
    <n v="10854"/>
    <x v="853"/>
    <x v="3"/>
    <x v="0"/>
    <x v="3"/>
    <x v="5"/>
    <n v="49"/>
    <x v="3"/>
    <n v="7"/>
    <n v="20240"/>
    <x v="3"/>
    <n v="141680"/>
    <n v="14168"/>
    <n v="127512"/>
  </r>
  <r>
    <n v="10855"/>
    <x v="854"/>
    <x v="0"/>
    <x v="3"/>
    <x v="3"/>
    <x v="0"/>
    <n v="60"/>
    <x v="2"/>
    <n v="4"/>
    <n v="10820"/>
    <x v="0"/>
    <n v="43280"/>
    <n v="0"/>
    <n v="43280"/>
  </r>
  <r>
    <n v="10856"/>
    <x v="855"/>
    <x v="2"/>
    <x v="3"/>
    <x v="3"/>
    <x v="6"/>
    <n v="41"/>
    <x v="4"/>
    <n v="7"/>
    <n v="34671"/>
    <x v="0"/>
    <n v="242697"/>
    <n v="0"/>
    <n v="242697"/>
  </r>
  <r>
    <n v="10857"/>
    <x v="856"/>
    <x v="1"/>
    <x v="3"/>
    <x v="3"/>
    <x v="1"/>
    <n v="34"/>
    <x v="0"/>
    <n v="8"/>
    <n v="30647"/>
    <x v="4"/>
    <n v="245176"/>
    <n v="12258.8"/>
    <n v="232917.2"/>
  </r>
  <r>
    <n v="10858"/>
    <x v="857"/>
    <x v="2"/>
    <x v="0"/>
    <x v="3"/>
    <x v="1"/>
    <n v="42"/>
    <x v="4"/>
    <n v="8"/>
    <n v="10433"/>
    <x v="4"/>
    <n v="83464"/>
    <n v="4173.2"/>
    <n v="79290.8"/>
  </r>
  <r>
    <n v="10859"/>
    <x v="858"/>
    <x v="3"/>
    <x v="2"/>
    <x v="2"/>
    <x v="4"/>
    <n v="49"/>
    <x v="3"/>
    <n v="5"/>
    <n v="9986"/>
    <x v="4"/>
    <n v="49930"/>
    <n v="2496.5"/>
    <n v="47433.5"/>
  </r>
  <r>
    <n v="10860"/>
    <x v="859"/>
    <x v="3"/>
    <x v="1"/>
    <x v="3"/>
    <x v="1"/>
    <n v="51"/>
    <x v="3"/>
    <n v="2"/>
    <n v="29314"/>
    <x v="4"/>
    <n v="58628"/>
    <n v="2931.4"/>
    <n v="55696.6"/>
  </r>
  <r>
    <n v="10861"/>
    <x v="860"/>
    <x v="0"/>
    <x v="2"/>
    <x v="0"/>
    <x v="0"/>
    <n v="29"/>
    <x v="0"/>
    <n v="1"/>
    <n v="10402"/>
    <x v="0"/>
    <n v="10402"/>
    <n v="0"/>
    <n v="10402"/>
  </r>
  <r>
    <n v="10862"/>
    <x v="861"/>
    <x v="1"/>
    <x v="3"/>
    <x v="3"/>
    <x v="2"/>
    <n v="37"/>
    <x v="4"/>
    <n v="8"/>
    <n v="36217"/>
    <x v="3"/>
    <n v="289736"/>
    <n v="28973.599999999999"/>
    <n v="260762.4"/>
  </r>
  <r>
    <n v="10863"/>
    <x v="862"/>
    <x v="1"/>
    <x v="2"/>
    <x v="1"/>
    <x v="1"/>
    <n v="61"/>
    <x v="2"/>
    <n v="1"/>
    <n v="18915"/>
    <x v="0"/>
    <n v="18915"/>
    <n v="0"/>
    <n v="18915"/>
  </r>
  <r>
    <n v="10864"/>
    <x v="863"/>
    <x v="0"/>
    <x v="0"/>
    <x v="0"/>
    <x v="3"/>
    <n v="24"/>
    <x v="1"/>
    <n v="8"/>
    <n v="22482"/>
    <x v="0"/>
    <n v="179856"/>
    <n v="0"/>
    <n v="179856"/>
  </r>
  <r>
    <n v="10865"/>
    <x v="864"/>
    <x v="2"/>
    <x v="2"/>
    <x v="1"/>
    <x v="4"/>
    <n v="36"/>
    <x v="4"/>
    <n v="2"/>
    <n v="11386"/>
    <x v="1"/>
    <n v="22772"/>
    <n v="3415.8"/>
    <n v="19356.2"/>
  </r>
  <r>
    <n v="10866"/>
    <x v="865"/>
    <x v="2"/>
    <x v="0"/>
    <x v="2"/>
    <x v="5"/>
    <n v="63"/>
    <x v="2"/>
    <n v="1"/>
    <n v="48967"/>
    <x v="3"/>
    <n v="48967"/>
    <n v="4896.7"/>
    <n v="44070.3"/>
  </r>
  <r>
    <n v="10867"/>
    <x v="866"/>
    <x v="2"/>
    <x v="2"/>
    <x v="0"/>
    <x v="2"/>
    <n v="18"/>
    <x v="1"/>
    <n v="5"/>
    <n v="42766"/>
    <x v="0"/>
    <n v="213830"/>
    <n v="0"/>
    <n v="213830"/>
  </r>
  <r>
    <n v="10868"/>
    <x v="867"/>
    <x v="0"/>
    <x v="4"/>
    <x v="0"/>
    <x v="0"/>
    <n v="39"/>
    <x v="4"/>
    <n v="7"/>
    <n v="42463"/>
    <x v="1"/>
    <n v="297241"/>
    <n v="44586.15"/>
    <n v="252654.85"/>
  </r>
  <r>
    <n v="10869"/>
    <x v="868"/>
    <x v="2"/>
    <x v="3"/>
    <x v="3"/>
    <x v="0"/>
    <n v="61"/>
    <x v="2"/>
    <n v="6"/>
    <n v="40411"/>
    <x v="1"/>
    <n v="242466"/>
    <n v="36369.9"/>
    <n v="206096.1"/>
  </r>
  <r>
    <n v="10870"/>
    <x v="869"/>
    <x v="0"/>
    <x v="1"/>
    <x v="0"/>
    <x v="2"/>
    <n v="60"/>
    <x v="2"/>
    <n v="6"/>
    <n v="1564"/>
    <x v="2"/>
    <n v="9384"/>
    <n v="1876.8"/>
    <n v="7507.2"/>
  </r>
  <r>
    <n v="10871"/>
    <x v="870"/>
    <x v="2"/>
    <x v="4"/>
    <x v="2"/>
    <x v="1"/>
    <n v="63"/>
    <x v="2"/>
    <n v="6"/>
    <n v="11331"/>
    <x v="4"/>
    <n v="67986"/>
    <n v="3399.3"/>
    <n v="64586.7"/>
  </r>
  <r>
    <n v="10872"/>
    <x v="871"/>
    <x v="1"/>
    <x v="1"/>
    <x v="3"/>
    <x v="0"/>
    <n v="31"/>
    <x v="0"/>
    <n v="4"/>
    <n v="38080"/>
    <x v="1"/>
    <n v="152320"/>
    <n v="22848"/>
    <n v="129472"/>
  </r>
  <r>
    <n v="10873"/>
    <x v="872"/>
    <x v="1"/>
    <x v="3"/>
    <x v="1"/>
    <x v="1"/>
    <n v="25"/>
    <x v="0"/>
    <n v="5"/>
    <n v="49167"/>
    <x v="4"/>
    <n v="245835"/>
    <n v="12291.75"/>
    <n v="233543.25"/>
  </r>
  <r>
    <n v="10874"/>
    <x v="873"/>
    <x v="3"/>
    <x v="2"/>
    <x v="3"/>
    <x v="5"/>
    <n v="18"/>
    <x v="1"/>
    <n v="4"/>
    <n v="3513"/>
    <x v="1"/>
    <n v="14052"/>
    <n v="2107.8000000000002"/>
    <n v="11944.2"/>
  </r>
  <r>
    <n v="10875"/>
    <x v="874"/>
    <x v="0"/>
    <x v="4"/>
    <x v="0"/>
    <x v="3"/>
    <n v="23"/>
    <x v="1"/>
    <n v="8"/>
    <n v="17475"/>
    <x v="3"/>
    <n v="139800"/>
    <n v="13980"/>
    <n v="125820"/>
  </r>
  <r>
    <n v="10876"/>
    <x v="875"/>
    <x v="3"/>
    <x v="3"/>
    <x v="0"/>
    <x v="6"/>
    <n v="64"/>
    <x v="2"/>
    <n v="5"/>
    <n v="15276"/>
    <x v="1"/>
    <n v="76380"/>
    <n v="11457"/>
    <n v="64923"/>
  </r>
  <r>
    <n v="10877"/>
    <x v="876"/>
    <x v="1"/>
    <x v="0"/>
    <x v="2"/>
    <x v="0"/>
    <n v="31"/>
    <x v="0"/>
    <n v="7"/>
    <n v="27365"/>
    <x v="4"/>
    <n v="191555"/>
    <n v="9577.75"/>
    <n v="181977.25"/>
  </r>
  <r>
    <n v="10878"/>
    <x v="877"/>
    <x v="3"/>
    <x v="3"/>
    <x v="2"/>
    <x v="5"/>
    <n v="26"/>
    <x v="0"/>
    <n v="5"/>
    <n v="45428"/>
    <x v="1"/>
    <n v="227140"/>
    <n v="34071"/>
    <n v="193069"/>
  </r>
  <r>
    <n v="10879"/>
    <x v="878"/>
    <x v="2"/>
    <x v="4"/>
    <x v="2"/>
    <x v="6"/>
    <n v="56"/>
    <x v="2"/>
    <n v="5"/>
    <n v="6142"/>
    <x v="4"/>
    <n v="30710"/>
    <n v="1535.5"/>
    <n v="29174.5"/>
  </r>
  <r>
    <n v="10880"/>
    <x v="879"/>
    <x v="0"/>
    <x v="1"/>
    <x v="2"/>
    <x v="1"/>
    <n v="20"/>
    <x v="1"/>
    <n v="3"/>
    <n v="39781"/>
    <x v="3"/>
    <n v="119343"/>
    <n v="11934.3"/>
    <n v="107408.7"/>
  </r>
  <r>
    <n v="10881"/>
    <x v="880"/>
    <x v="0"/>
    <x v="3"/>
    <x v="2"/>
    <x v="4"/>
    <n v="51"/>
    <x v="3"/>
    <n v="1"/>
    <n v="26565"/>
    <x v="2"/>
    <n v="26565"/>
    <n v="5313"/>
    <n v="21252"/>
  </r>
  <r>
    <n v="10882"/>
    <x v="881"/>
    <x v="3"/>
    <x v="2"/>
    <x v="1"/>
    <x v="6"/>
    <n v="64"/>
    <x v="2"/>
    <n v="3"/>
    <n v="7704"/>
    <x v="0"/>
    <n v="23112"/>
    <n v="0"/>
    <n v="23112"/>
  </r>
  <r>
    <n v="10883"/>
    <x v="882"/>
    <x v="1"/>
    <x v="3"/>
    <x v="1"/>
    <x v="5"/>
    <n v="20"/>
    <x v="1"/>
    <n v="7"/>
    <n v="15263"/>
    <x v="0"/>
    <n v="106841"/>
    <n v="0"/>
    <n v="106841"/>
  </r>
  <r>
    <n v="10884"/>
    <x v="883"/>
    <x v="3"/>
    <x v="3"/>
    <x v="3"/>
    <x v="6"/>
    <n v="23"/>
    <x v="1"/>
    <n v="8"/>
    <n v="25625"/>
    <x v="1"/>
    <n v="205000"/>
    <n v="30750"/>
    <n v="174250"/>
  </r>
  <r>
    <n v="10885"/>
    <x v="884"/>
    <x v="2"/>
    <x v="4"/>
    <x v="0"/>
    <x v="5"/>
    <n v="58"/>
    <x v="2"/>
    <n v="8"/>
    <n v="34611"/>
    <x v="3"/>
    <n v="276888"/>
    <n v="27688.799999999999"/>
    <n v="249199.2"/>
  </r>
  <r>
    <n v="10886"/>
    <x v="885"/>
    <x v="0"/>
    <x v="4"/>
    <x v="3"/>
    <x v="1"/>
    <n v="43"/>
    <x v="4"/>
    <n v="8"/>
    <n v="36891"/>
    <x v="2"/>
    <n v="295128"/>
    <n v="59025.599999999999"/>
    <n v="236102.39999999999"/>
  </r>
  <r>
    <n v="10887"/>
    <x v="886"/>
    <x v="3"/>
    <x v="1"/>
    <x v="2"/>
    <x v="3"/>
    <n v="42"/>
    <x v="4"/>
    <n v="5"/>
    <n v="29231"/>
    <x v="1"/>
    <n v="146155"/>
    <n v="21923.25"/>
    <n v="124231.75"/>
  </r>
  <r>
    <n v="10888"/>
    <x v="887"/>
    <x v="2"/>
    <x v="4"/>
    <x v="0"/>
    <x v="2"/>
    <n v="24"/>
    <x v="1"/>
    <n v="8"/>
    <n v="29251"/>
    <x v="4"/>
    <n v="234008"/>
    <n v="11700.4"/>
    <n v="222307.6"/>
  </r>
  <r>
    <n v="10889"/>
    <x v="888"/>
    <x v="0"/>
    <x v="4"/>
    <x v="2"/>
    <x v="2"/>
    <n v="33"/>
    <x v="0"/>
    <n v="7"/>
    <n v="49024"/>
    <x v="0"/>
    <n v="343168"/>
    <n v="0"/>
    <n v="343168"/>
  </r>
  <r>
    <n v="10890"/>
    <x v="889"/>
    <x v="3"/>
    <x v="1"/>
    <x v="2"/>
    <x v="4"/>
    <n v="28"/>
    <x v="0"/>
    <n v="1"/>
    <n v="5530"/>
    <x v="0"/>
    <n v="5530"/>
    <n v="0"/>
    <n v="5530"/>
  </r>
  <r>
    <n v="10891"/>
    <x v="890"/>
    <x v="0"/>
    <x v="3"/>
    <x v="3"/>
    <x v="2"/>
    <n v="63"/>
    <x v="2"/>
    <n v="2"/>
    <n v="18289"/>
    <x v="1"/>
    <n v="36578"/>
    <n v="5486.7"/>
    <n v="31091.3"/>
  </r>
  <r>
    <n v="10892"/>
    <x v="891"/>
    <x v="2"/>
    <x v="4"/>
    <x v="0"/>
    <x v="5"/>
    <n v="37"/>
    <x v="4"/>
    <n v="2"/>
    <n v="1771"/>
    <x v="2"/>
    <n v="3542"/>
    <n v="708.4"/>
    <n v="2833.6"/>
  </r>
  <r>
    <n v="10893"/>
    <x v="892"/>
    <x v="1"/>
    <x v="3"/>
    <x v="0"/>
    <x v="0"/>
    <n v="40"/>
    <x v="4"/>
    <n v="2"/>
    <n v="37219"/>
    <x v="4"/>
    <n v="74438"/>
    <n v="3721.9"/>
    <n v="70716.100000000006"/>
  </r>
  <r>
    <n v="10894"/>
    <x v="893"/>
    <x v="2"/>
    <x v="0"/>
    <x v="0"/>
    <x v="7"/>
    <n v="20"/>
    <x v="1"/>
    <n v="6"/>
    <n v="37303"/>
    <x v="0"/>
    <n v="223818"/>
    <n v="0"/>
    <n v="223818"/>
  </r>
  <r>
    <n v="10895"/>
    <x v="894"/>
    <x v="1"/>
    <x v="4"/>
    <x v="0"/>
    <x v="4"/>
    <n v="60"/>
    <x v="2"/>
    <n v="8"/>
    <n v="13062"/>
    <x v="2"/>
    <n v="104496"/>
    <n v="20899.2"/>
    <n v="83596.800000000003"/>
  </r>
  <r>
    <n v="10896"/>
    <x v="895"/>
    <x v="0"/>
    <x v="2"/>
    <x v="3"/>
    <x v="5"/>
    <n v="29"/>
    <x v="0"/>
    <n v="2"/>
    <n v="35735"/>
    <x v="0"/>
    <n v="71470"/>
    <n v="0"/>
    <n v="71470"/>
  </r>
  <r>
    <n v="10897"/>
    <x v="896"/>
    <x v="0"/>
    <x v="4"/>
    <x v="1"/>
    <x v="0"/>
    <n v="57"/>
    <x v="2"/>
    <n v="9"/>
    <n v="3027"/>
    <x v="4"/>
    <n v="27243"/>
    <n v="1362.15"/>
    <n v="25880.85"/>
  </r>
  <r>
    <n v="10898"/>
    <x v="897"/>
    <x v="1"/>
    <x v="2"/>
    <x v="0"/>
    <x v="7"/>
    <n v="29"/>
    <x v="0"/>
    <n v="7"/>
    <n v="5459"/>
    <x v="0"/>
    <n v="38213"/>
    <n v="0"/>
    <n v="38213"/>
  </r>
  <r>
    <n v="10899"/>
    <x v="898"/>
    <x v="0"/>
    <x v="1"/>
    <x v="0"/>
    <x v="7"/>
    <n v="59"/>
    <x v="2"/>
    <n v="1"/>
    <n v="19727"/>
    <x v="4"/>
    <n v="19727"/>
    <n v="986.35"/>
    <n v="18740.650000000001"/>
  </r>
  <r>
    <n v="10900"/>
    <x v="899"/>
    <x v="0"/>
    <x v="4"/>
    <x v="3"/>
    <x v="5"/>
    <n v="26"/>
    <x v="0"/>
    <n v="6"/>
    <n v="38319"/>
    <x v="3"/>
    <n v="229914"/>
    <n v="22991.4"/>
    <n v="206922.6"/>
  </r>
  <r>
    <n v="10901"/>
    <x v="900"/>
    <x v="0"/>
    <x v="1"/>
    <x v="1"/>
    <x v="7"/>
    <n v="37"/>
    <x v="4"/>
    <n v="7"/>
    <n v="45538"/>
    <x v="0"/>
    <n v="318766"/>
    <n v="0"/>
    <n v="318766"/>
  </r>
  <r>
    <n v="10902"/>
    <x v="901"/>
    <x v="2"/>
    <x v="1"/>
    <x v="2"/>
    <x v="1"/>
    <n v="45"/>
    <x v="3"/>
    <n v="7"/>
    <n v="3279"/>
    <x v="1"/>
    <n v="22953"/>
    <n v="3442.95"/>
    <n v="19510.05"/>
  </r>
  <r>
    <n v="10903"/>
    <x v="902"/>
    <x v="3"/>
    <x v="0"/>
    <x v="1"/>
    <x v="0"/>
    <n v="27"/>
    <x v="0"/>
    <n v="4"/>
    <n v="42290"/>
    <x v="0"/>
    <n v="169160"/>
    <n v="0"/>
    <n v="169160"/>
  </r>
  <r>
    <n v="10904"/>
    <x v="903"/>
    <x v="0"/>
    <x v="4"/>
    <x v="0"/>
    <x v="3"/>
    <n v="24"/>
    <x v="1"/>
    <n v="8"/>
    <n v="30231"/>
    <x v="2"/>
    <n v="241848"/>
    <n v="48369.599999999999"/>
    <n v="193478.39999999999"/>
  </r>
  <r>
    <n v="10905"/>
    <x v="904"/>
    <x v="1"/>
    <x v="4"/>
    <x v="2"/>
    <x v="5"/>
    <n v="36"/>
    <x v="4"/>
    <n v="2"/>
    <n v="2973"/>
    <x v="0"/>
    <n v="5946"/>
    <n v="0"/>
    <n v="5946"/>
  </r>
  <r>
    <n v="10906"/>
    <x v="905"/>
    <x v="3"/>
    <x v="0"/>
    <x v="1"/>
    <x v="3"/>
    <n v="32"/>
    <x v="0"/>
    <n v="6"/>
    <n v="23937"/>
    <x v="1"/>
    <n v="143622"/>
    <n v="21543.3"/>
    <n v="122078.7"/>
  </r>
  <r>
    <n v="10907"/>
    <x v="906"/>
    <x v="2"/>
    <x v="2"/>
    <x v="1"/>
    <x v="0"/>
    <n v="23"/>
    <x v="1"/>
    <n v="4"/>
    <n v="3240"/>
    <x v="4"/>
    <n v="12960"/>
    <n v="648"/>
    <n v="12312"/>
  </r>
  <r>
    <n v="10908"/>
    <x v="907"/>
    <x v="0"/>
    <x v="4"/>
    <x v="0"/>
    <x v="7"/>
    <n v="37"/>
    <x v="4"/>
    <n v="4"/>
    <n v="17696"/>
    <x v="0"/>
    <n v="70784"/>
    <n v="0"/>
    <n v="70784"/>
  </r>
  <r>
    <n v="10909"/>
    <x v="908"/>
    <x v="0"/>
    <x v="1"/>
    <x v="2"/>
    <x v="1"/>
    <n v="53"/>
    <x v="3"/>
    <n v="7"/>
    <n v="23860"/>
    <x v="0"/>
    <n v="167020"/>
    <n v="0"/>
    <n v="167020"/>
  </r>
  <r>
    <n v="10910"/>
    <x v="909"/>
    <x v="3"/>
    <x v="1"/>
    <x v="0"/>
    <x v="1"/>
    <n v="53"/>
    <x v="3"/>
    <n v="7"/>
    <n v="40137"/>
    <x v="1"/>
    <n v="280959"/>
    <n v="42143.85"/>
    <n v="238815.15"/>
  </r>
  <r>
    <n v="10911"/>
    <x v="910"/>
    <x v="1"/>
    <x v="0"/>
    <x v="0"/>
    <x v="3"/>
    <n v="40"/>
    <x v="4"/>
    <n v="4"/>
    <n v="19558"/>
    <x v="3"/>
    <n v="78232"/>
    <n v="7823.2"/>
    <n v="70408.800000000003"/>
  </r>
  <r>
    <n v="10912"/>
    <x v="911"/>
    <x v="0"/>
    <x v="3"/>
    <x v="0"/>
    <x v="7"/>
    <n v="31"/>
    <x v="0"/>
    <n v="7"/>
    <n v="37863"/>
    <x v="0"/>
    <n v="265041"/>
    <n v="0"/>
    <n v="265041"/>
  </r>
  <r>
    <n v="10913"/>
    <x v="912"/>
    <x v="0"/>
    <x v="4"/>
    <x v="0"/>
    <x v="2"/>
    <n v="39"/>
    <x v="4"/>
    <n v="5"/>
    <n v="49196"/>
    <x v="3"/>
    <n v="245980"/>
    <n v="24598"/>
    <n v="221382"/>
  </r>
  <r>
    <n v="10914"/>
    <x v="913"/>
    <x v="3"/>
    <x v="4"/>
    <x v="3"/>
    <x v="3"/>
    <n v="25"/>
    <x v="0"/>
    <n v="2"/>
    <n v="27597"/>
    <x v="0"/>
    <n v="55194"/>
    <n v="0"/>
    <n v="55194"/>
  </r>
  <r>
    <n v="10915"/>
    <x v="914"/>
    <x v="3"/>
    <x v="1"/>
    <x v="2"/>
    <x v="3"/>
    <n v="24"/>
    <x v="1"/>
    <n v="9"/>
    <n v="15101"/>
    <x v="4"/>
    <n v="135909"/>
    <n v="6795.45"/>
    <n v="129113.55"/>
  </r>
  <r>
    <n v="10916"/>
    <x v="915"/>
    <x v="2"/>
    <x v="3"/>
    <x v="2"/>
    <x v="0"/>
    <n v="31"/>
    <x v="0"/>
    <n v="3"/>
    <n v="38667"/>
    <x v="2"/>
    <n v="116001"/>
    <n v="23200.2"/>
    <n v="92800.8"/>
  </r>
  <r>
    <n v="10917"/>
    <x v="916"/>
    <x v="1"/>
    <x v="0"/>
    <x v="0"/>
    <x v="2"/>
    <n v="46"/>
    <x v="3"/>
    <n v="1"/>
    <n v="14279"/>
    <x v="2"/>
    <n v="14279"/>
    <n v="2855.8"/>
    <n v="11423.2"/>
  </r>
  <r>
    <n v="10918"/>
    <x v="917"/>
    <x v="3"/>
    <x v="4"/>
    <x v="2"/>
    <x v="3"/>
    <n v="61"/>
    <x v="2"/>
    <n v="8"/>
    <n v="40016"/>
    <x v="2"/>
    <n v="320128"/>
    <n v="64025.599999999999"/>
    <n v="256102.39999999999"/>
  </r>
  <r>
    <n v="10919"/>
    <x v="918"/>
    <x v="1"/>
    <x v="3"/>
    <x v="3"/>
    <x v="7"/>
    <n v="38"/>
    <x v="4"/>
    <n v="7"/>
    <n v="28141"/>
    <x v="0"/>
    <n v="196987"/>
    <n v="0"/>
    <n v="196987"/>
  </r>
  <r>
    <n v="10920"/>
    <x v="919"/>
    <x v="1"/>
    <x v="1"/>
    <x v="1"/>
    <x v="0"/>
    <n v="24"/>
    <x v="1"/>
    <n v="9"/>
    <n v="1935"/>
    <x v="4"/>
    <n v="17415"/>
    <n v="870.75"/>
    <n v="16544.25"/>
  </r>
  <r>
    <n v="10921"/>
    <x v="920"/>
    <x v="1"/>
    <x v="3"/>
    <x v="1"/>
    <x v="1"/>
    <n v="51"/>
    <x v="3"/>
    <n v="1"/>
    <n v="48924"/>
    <x v="0"/>
    <n v="48924"/>
    <n v="0"/>
    <n v="48924"/>
  </r>
  <r>
    <n v="10922"/>
    <x v="921"/>
    <x v="3"/>
    <x v="0"/>
    <x v="1"/>
    <x v="2"/>
    <n v="46"/>
    <x v="3"/>
    <n v="3"/>
    <n v="7789"/>
    <x v="4"/>
    <n v="23367"/>
    <n v="1168.3499999999999"/>
    <n v="22198.65"/>
  </r>
  <r>
    <n v="10923"/>
    <x v="922"/>
    <x v="1"/>
    <x v="0"/>
    <x v="2"/>
    <x v="1"/>
    <n v="27"/>
    <x v="0"/>
    <n v="3"/>
    <n v="37363"/>
    <x v="1"/>
    <n v="112089"/>
    <n v="16813.349999999999"/>
    <n v="95275.65"/>
  </r>
  <r>
    <n v="10924"/>
    <x v="923"/>
    <x v="2"/>
    <x v="0"/>
    <x v="2"/>
    <x v="7"/>
    <n v="43"/>
    <x v="4"/>
    <n v="7"/>
    <n v="25911"/>
    <x v="1"/>
    <n v="181377"/>
    <n v="27206.55"/>
    <n v="154170.45000000001"/>
  </r>
  <r>
    <n v="10925"/>
    <x v="924"/>
    <x v="3"/>
    <x v="1"/>
    <x v="3"/>
    <x v="6"/>
    <n v="24"/>
    <x v="1"/>
    <n v="2"/>
    <n v="23859"/>
    <x v="4"/>
    <n v="47718"/>
    <n v="2385.9"/>
    <n v="45332.1"/>
  </r>
  <r>
    <n v="10926"/>
    <x v="925"/>
    <x v="2"/>
    <x v="4"/>
    <x v="3"/>
    <x v="4"/>
    <n v="31"/>
    <x v="0"/>
    <n v="9"/>
    <n v="34083"/>
    <x v="2"/>
    <n v="306747"/>
    <n v="61349.4"/>
    <n v="245397.6"/>
  </r>
  <r>
    <n v="10927"/>
    <x v="926"/>
    <x v="0"/>
    <x v="1"/>
    <x v="1"/>
    <x v="7"/>
    <n v="26"/>
    <x v="0"/>
    <n v="9"/>
    <n v="15680"/>
    <x v="4"/>
    <n v="141120"/>
    <n v="7056"/>
    <n v="134064"/>
  </r>
  <r>
    <n v="10928"/>
    <x v="927"/>
    <x v="0"/>
    <x v="1"/>
    <x v="2"/>
    <x v="2"/>
    <n v="59"/>
    <x v="2"/>
    <n v="3"/>
    <n v="17060"/>
    <x v="4"/>
    <n v="51180"/>
    <n v="2559"/>
    <n v="48621"/>
  </r>
  <r>
    <n v="10929"/>
    <x v="928"/>
    <x v="2"/>
    <x v="2"/>
    <x v="0"/>
    <x v="3"/>
    <n v="43"/>
    <x v="4"/>
    <n v="9"/>
    <n v="49608"/>
    <x v="3"/>
    <n v="446472"/>
    <n v="44647.199999999997"/>
    <n v="401824.8"/>
  </r>
  <r>
    <n v="10930"/>
    <x v="929"/>
    <x v="0"/>
    <x v="1"/>
    <x v="1"/>
    <x v="4"/>
    <n v="56"/>
    <x v="2"/>
    <n v="8"/>
    <n v="7679"/>
    <x v="4"/>
    <n v="61432"/>
    <n v="3071.6"/>
    <n v="58360.4"/>
  </r>
  <r>
    <n v="10931"/>
    <x v="930"/>
    <x v="3"/>
    <x v="1"/>
    <x v="0"/>
    <x v="0"/>
    <n v="52"/>
    <x v="3"/>
    <n v="6"/>
    <n v="20556"/>
    <x v="0"/>
    <n v="123336"/>
    <n v="0"/>
    <n v="123336"/>
  </r>
  <r>
    <n v="10932"/>
    <x v="931"/>
    <x v="2"/>
    <x v="3"/>
    <x v="3"/>
    <x v="7"/>
    <n v="22"/>
    <x v="1"/>
    <n v="8"/>
    <n v="34550"/>
    <x v="2"/>
    <n v="276400"/>
    <n v="55280"/>
    <n v="221120"/>
  </r>
  <r>
    <n v="10933"/>
    <x v="932"/>
    <x v="1"/>
    <x v="1"/>
    <x v="3"/>
    <x v="2"/>
    <n v="19"/>
    <x v="1"/>
    <n v="3"/>
    <n v="44504"/>
    <x v="0"/>
    <n v="133512"/>
    <n v="0"/>
    <n v="133512"/>
  </r>
  <r>
    <n v="10934"/>
    <x v="933"/>
    <x v="2"/>
    <x v="0"/>
    <x v="1"/>
    <x v="5"/>
    <n v="42"/>
    <x v="4"/>
    <n v="9"/>
    <n v="7641"/>
    <x v="1"/>
    <n v="68769"/>
    <n v="10315.35"/>
    <n v="58453.65"/>
  </r>
  <r>
    <n v="10935"/>
    <x v="934"/>
    <x v="2"/>
    <x v="4"/>
    <x v="3"/>
    <x v="1"/>
    <n v="56"/>
    <x v="2"/>
    <n v="8"/>
    <n v="10611"/>
    <x v="2"/>
    <n v="84888"/>
    <n v="16977.599999999999"/>
    <n v="67910.399999999994"/>
  </r>
  <r>
    <n v="10936"/>
    <x v="935"/>
    <x v="2"/>
    <x v="0"/>
    <x v="3"/>
    <x v="3"/>
    <n v="57"/>
    <x v="2"/>
    <n v="6"/>
    <n v="16495"/>
    <x v="4"/>
    <n v="98970"/>
    <n v="4948.5"/>
    <n v="94021.5"/>
  </r>
  <r>
    <n v="10937"/>
    <x v="936"/>
    <x v="0"/>
    <x v="1"/>
    <x v="2"/>
    <x v="6"/>
    <n v="39"/>
    <x v="4"/>
    <n v="4"/>
    <n v="49450"/>
    <x v="2"/>
    <n v="197800"/>
    <n v="39560"/>
    <n v="158240"/>
  </r>
  <r>
    <n v="10938"/>
    <x v="937"/>
    <x v="2"/>
    <x v="4"/>
    <x v="0"/>
    <x v="7"/>
    <n v="56"/>
    <x v="2"/>
    <n v="6"/>
    <n v="45759"/>
    <x v="2"/>
    <n v="274554"/>
    <n v="54910.8"/>
    <n v="219643.2"/>
  </r>
  <r>
    <n v="10939"/>
    <x v="938"/>
    <x v="2"/>
    <x v="0"/>
    <x v="1"/>
    <x v="1"/>
    <n v="38"/>
    <x v="4"/>
    <n v="9"/>
    <n v="37399"/>
    <x v="3"/>
    <n v="336591"/>
    <n v="33659.1"/>
    <n v="302931.90000000002"/>
  </r>
  <r>
    <n v="10940"/>
    <x v="939"/>
    <x v="0"/>
    <x v="4"/>
    <x v="2"/>
    <x v="4"/>
    <n v="56"/>
    <x v="2"/>
    <n v="6"/>
    <n v="4841"/>
    <x v="3"/>
    <n v="29046"/>
    <n v="2904.6"/>
    <n v="26141.4"/>
  </r>
  <r>
    <n v="10941"/>
    <x v="940"/>
    <x v="2"/>
    <x v="4"/>
    <x v="3"/>
    <x v="6"/>
    <n v="49"/>
    <x v="3"/>
    <n v="9"/>
    <n v="45992"/>
    <x v="2"/>
    <n v="413928"/>
    <n v="82785.600000000006"/>
    <n v="331142.40000000002"/>
  </r>
  <r>
    <n v="10942"/>
    <x v="941"/>
    <x v="0"/>
    <x v="0"/>
    <x v="3"/>
    <x v="6"/>
    <n v="32"/>
    <x v="0"/>
    <n v="3"/>
    <n v="16248"/>
    <x v="4"/>
    <n v="48744"/>
    <n v="2437.1999999999998"/>
    <n v="46306.8"/>
  </r>
  <r>
    <n v="10943"/>
    <x v="942"/>
    <x v="0"/>
    <x v="3"/>
    <x v="3"/>
    <x v="5"/>
    <n v="32"/>
    <x v="0"/>
    <n v="6"/>
    <n v="46616"/>
    <x v="1"/>
    <n v="279696"/>
    <n v="41954.400000000001"/>
    <n v="237741.6"/>
  </r>
  <r>
    <n v="10944"/>
    <x v="943"/>
    <x v="1"/>
    <x v="2"/>
    <x v="1"/>
    <x v="3"/>
    <n v="26"/>
    <x v="0"/>
    <n v="7"/>
    <n v="43912"/>
    <x v="2"/>
    <n v="307384"/>
    <n v="61476.800000000003"/>
    <n v="245907.20000000001"/>
  </r>
  <r>
    <n v="10945"/>
    <x v="944"/>
    <x v="3"/>
    <x v="1"/>
    <x v="0"/>
    <x v="7"/>
    <n v="54"/>
    <x v="3"/>
    <n v="3"/>
    <n v="34790"/>
    <x v="1"/>
    <n v="104370"/>
    <n v="15655.5"/>
    <n v="88714.5"/>
  </r>
  <r>
    <n v="10946"/>
    <x v="945"/>
    <x v="1"/>
    <x v="2"/>
    <x v="2"/>
    <x v="4"/>
    <n v="49"/>
    <x v="3"/>
    <n v="7"/>
    <n v="23336"/>
    <x v="4"/>
    <n v="163352"/>
    <n v="8167.6"/>
    <n v="155184.4"/>
  </r>
  <r>
    <n v="10947"/>
    <x v="946"/>
    <x v="3"/>
    <x v="4"/>
    <x v="1"/>
    <x v="5"/>
    <n v="26"/>
    <x v="0"/>
    <n v="8"/>
    <n v="31179"/>
    <x v="4"/>
    <n v="249432"/>
    <n v="12471.6"/>
    <n v="236960.4"/>
  </r>
  <r>
    <n v="10948"/>
    <x v="947"/>
    <x v="2"/>
    <x v="2"/>
    <x v="0"/>
    <x v="7"/>
    <n v="55"/>
    <x v="2"/>
    <n v="3"/>
    <n v="45822"/>
    <x v="3"/>
    <n v="137466"/>
    <n v="13746.6"/>
    <n v="123719.4"/>
  </r>
  <r>
    <n v="10949"/>
    <x v="948"/>
    <x v="3"/>
    <x v="3"/>
    <x v="0"/>
    <x v="6"/>
    <n v="31"/>
    <x v="0"/>
    <n v="9"/>
    <n v="21625"/>
    <x v="2"/>
    <n v="194625"/>
    <n v="38925"/>
    <n v="155700"/>
  </r>
  <r>
    <n v="10950"/>
    <x v="949"/>
    <x v="0"/>
    <x v="0"/>
    <x v="1"/>
    <x v="4"/>
    <n v="52"/>
    <x v="3"/>
    <n v="5"/>
    <n v="27408"/>
    <x v="4"/>
    <n v="137040"/>
    <n v="6852"/>
    <n v="130188"/>
  </r>
  <r>
    <n v="10951"/>
    <x v="950"/>
    <x v="2"/>
    <x v="2"/>
    <x v="1"/>
    <x v="7"/>
    <n v="57"/>
    <x v="2"/>
    <n v="9"/>
    <n v="45070"/>
    <x v="3"/>
    <n v="405630"/>
    <n v="40563"/>
    <n v="365067"/>
  </r>
  <r>
    <n v="10952"/>
    <x v="951"/>
    <x v="0"/>
    <x v="4"/>
    <x v="3"/>
    <x v="5"/>
    <n v="37"/>
    <x v="4"/>
    <n v="2"/>
    <n v="35092"/>
    <x v="2"/>
    <n v="70184"/>
    <n v="14036.8"/>
    <n v="56147.199999999997"/>
  </r>
  <r>
    <n v="10953"/>
    <x v="952"/>
    <x v="0"/>
    <x v="2"/>
    <x v="1"/>
    <x v="1"/>
    <n v="21"/>
    <x v="1"/>
    <n v="7"/>
    <n v="14617"/>
    <x v="4"/>
    <n v="102319"/>
    <n v="5115.95"/>
    <n v="97203.05"/>
  </r>
  <r>
    <n v="10954"/>
    <x v="953"/>
    <x v="2"/>
    <x v="2"/>
    <x v="0"/>
    <x v="2"/>
    <n v="49"/>
    <x v="3"/>
    <n v="1"/>
    <n v="35944"/>
    <x v="3"/>
    <n v="35944"/>
    <n v="3594.4"/>
    <n v="32349.599999999999"/>
  </r>
  <r>
    <n v="10955"/>
    <x v="954"/>
    <x v="3"/>
    <x v="1"/>
    <x v="1"/>
    <x v="3"/>
    <n v="24"/>
    <x v="1"/>
    <n v="3"/>
    <n v="29779"/>
    <x v="4"/>
    <n v="89337"/>
    <n v="4466.8500000000004"/>
    <n v="84870.15"/>
  </r>
  <r>
    <n v="10956"/>
    <x v="955"/>
    <x v="1"/>
    <x v="3"/>
    <x v="0"/>
    <x v="1"/>
    <n v="18"/>
    <x v="1"/>
    <n v="7"/>
    <n v="41825"/>
    <x v="4"/>
    <n v="292775"/>
    <n v="14638.75"/>
    <n v="278136.25"/>
  </r>
  <r>
    <n v="10957"/>
    <x v="956"/>
    <x v="3"/>
    <x v="0"/>
    <x v="0"/>
    <x v="3"/>
    <n v="44"/>
    <x v="4"/>
    <n v="1"/>
    <n v="11252"/>
    <x v="3"/>
    <n v="11252"/>
    <n v="1125.2"/>
    <n v="10126.799999999999"/>
  </r>
  <r>
    <n v="10958"/>
    <x v="957"/>
    <x v="0"/>
    <x v="3"/>
    <x v="1"/>
    <x v="4"/>
    <n v="62"/>
    <x v="2"/>
    <n v="1"/>
    <n v="6293"/>
    <x v="4"/>
    <n v="6293"/>
    <n v="314.64999999999998"/>
    <n v="5978.35"/>
  </r>
  <r>
    <n v="10959"/>
    <x v="958"/>
    <x v="0"/>
    <x v="1"/>
    <x v="1"/>
    <x v="7"/>
    <n v="43"/>
    <x v="4"/>
    <n v="8"/>
    <n v="27384"/>
    <x v="2"/>
    <n v="219072"/>
    <n v="43814.400000000001"/>
    <n v="175257.60000000001"/>
  </r>
  <r>
    <n v="10960"/>
    <x v="959"/>
    <x v="2"/>
    <x v="2"/>
    <x v="1"/>
    <x v="6"/>
    <n v="31"/>
    <x v="0"/>
    <n v="1"/>
    <n v="27255"/>
    <x v="1"/>
    <n v="27255"/>
    <n v="4088.25"/>
    <n v="23166.75"/>
  </r>
  <r>
    <n v="10961"/>
    <x v="960"/>
    <x v="2"/>
    <x v="0"/>
    <x v="3"/>
    <x v="5"/>
    <n v="48"/>
    <x v="3"/>
    <n v="3"/>
    <n v="18012"/>
    <x v="1"/>
    <n v="54036"/>
    <n v="8105.4"/>
    <n v="45930.6"/>
  </r>
  <r>
    <n v="10962"/>
    <x v="961"/>
    <x v="0"/>
    <x v="4"/>
    <x v="3"/>
    <x v="0"/>
    <n v="57"/>
    <x v="2"/>
    <n v="9"/>
    <n v="49285"/>
    <x v="3"/>
    <n v="443565"/>
    <n v="44356.5"/>
    <n v="399208.5"/>
  </r>
  <r>
    <n v="10963"/>
    <x v="962"/>
    <x v="3"/>
    <x v="2"/>
    <x v="1"/>
    <x v="1"/>
    <n v="42"/>
    <x v="4"/>
    <n v="3"/>
    <n v="49956"/>
    <x v="4"/>
    <n v="149868"/>
    <n v="7493.4"/>
    <n v="142374.6"/>
  </r>
  <r>
    <n v="10964"/>
    <x v="963"/>
    <x v="3"/>
    <x v="0"/>
    <x v="1"/>
    <x v="0"/>
    <n v="49"/>
    <x v="3"/>
    <n v="6"/>
    <n v="16209"/>
    <x v="4"/>
    <n v="97254"/>
    <n v="4862.7"/>
    <n v="92391.3"/>
  </r>
  <r>
    <n v="10965"/>
    <x v="964"/>
    <x v="0"/>
    <x v="3"/>
    <x v="1"/>
    <x v="7"/>
    <n v="37"/>
    <x v="4"/>
    <n v="5"/>
    <n v="1169"/>
    <x v="3"/>
    <n v="5845"/>
    <n v="584.5"/>
    <n v="5260.5"/>
  </r>
  <r>
    <n v="10966"/>
    <x v="965"/>
    <x v="1"/>
    <x v="4"/>
    <x v="3"/>
    <x v="5"/>
    <n v="58"/>
    <x v="2"/>
    <n v="1"/>
    <n v="9350"/>
    <x v="3"/>
    <n v="9350"/>
    <n v="935"/>
    <n v="8415"/>
  </r>
  <r>
    <n v="10967"/>
    <x v="966"/>
    <x v="1"/>
    <x v="4"/>
    <x v="1"/>
    <x v="5"/>
    <n v="61"/>
    <x v="2"/>
    <n v="7"/>
    <n v="39303"/>
    <x v="3"/>
    <n v="275121"/>
    <n v="27512.1"/>
    <n v="247608.9"/>
  </r>
  <r>
    <n v="10968"/>
    <x v="967"/>
    <x v="1"/>
    <x v="3"/>
    <x v="2"/>
    <x v="4"/>
    <n v="18"/>
    <x v="1"/>
    <n v="9"/>
    <n v="18364"/>
    <x v="0"/>
    <n v="165276"/>
    <n v="0"/>
    <n v="165276"/>
  </r>
  <r>
    <n v="10969"/>
    <x v="968"/>
    <x v="1"/>
    <x v="3"/>
    <x v="3"/>
    <x v="0"/>
    <n v="28"/>
    <x v="0"/>
    <n v="7"/>
    <n v="20092"/>
    <x v="2"/>
    <n v="140644"/>
    <n v="28128.799999999999"/>
    <n v="112515.2"/>
  </r>
  <r>
    <n v="10970"/>
    <x v="969"/>
    <x v="0"/>
    <x v="2"/>
    <x v="3"/>
    <x v="2"/>
    <n v="26"/>
    <x v="0"/>
    <n v="1"/>
    <n v="16672"/>
    <x v="1"/>
    <n v="16672"/>
    <n v="2500.8000000000002"/>
    <n v="14171.2"/>
  </r>
  <r>
    <n v="10971"/>
    <x v="970"/>
    <x v="1"/>
    <x v="1"/>
    <x v="0"/>
    <x v="3"/>
    <n v="57"/>
    <x v="2"/>
    <n v="5"/>
    <n v="19208"/>
    <x v="2"/>
    <n v="96040"/>
    <n v="19208"/>
    <n v="76832"/>
  </r>
  <r>
    <n v="10972"/>
    <x v="971"/>
    <x v="1"/>
    <x v="2"/>
    <x v="2"/>
    <x v="1"/>
    <n v="58"/>
    <x v="2"/>
    <n v="8"/>
    <n v="49418"/>
    <x v="3"/>
    <n v="395344"/>
    <n v="39534.400000000001"/>
    <n v="355809.6"/>
  </r>
  <r>
    <n v="10973"/>
    <x v="972"/>
    <x v="2"/>
    <x v="1"/>
    <x v="3"/>
    <x v="5"/>
    <n v="30"/>
    <x v="0"/>
    <n v="4"/>
    <n v="39501"/>
    <x v="1"/>
    <n v="158004"/>
    <n v="23700.6"/>
    <n v="134303.4"/>
  </r>
  <r>
    <n v="10974"/>
    <x v="973"/>
    <x v="1"/>
    <x v="0"/>
    <x v="0"/>
    <x v="1"/>
    <n v="31"/>
    <x v="0"/>
    <n v="6"/>
    <n v="44019"/>
    <x v="1"/>
    <n v="264114"/>
    <n v="39617.1"/>
    <n v="224496.9"/>
  </r>
  <r>
    <n v="10975"/>
    <x v="974"/>
    <x v="0"/>
    <x v="4"/>
    <x v="3"/>
    <x v="1"/>
    <n v="23"/>
    <x v="1"/>
    <n v="3"/>
    <n v="49721"/>
    <x v="4"/>
    <n v="149163"/>
    <n v="7458.15"/>
    <n v="141704.85"/>
  </r>
  <r>
    <n v="10976"/>
    <x v="975"/>
    <x v="3"/>
    <x v="3"/>
    <x v="0"/>
    <x v="6"/>
    <n v="23"/>
    <x v="1"/>
    <n v="8"/>
    <n v="25277"/>
    <x v="1"/>
    <n v="202216"/>
    <n v="30332.400000000001"/>
    <n v="171883.6"/>
  </r>
  <r>
    <n v="10977"/>
    <x v="976"/>
    <x v="1"/>
    <x v="1"/>
    <x v="2"/>
    <x v="1"/>
    <n v="29"/>
    <x v="0"/>
    <n v="3"/>
    <n v="32311"/>
    <x v="1"/>
    <n v="96933"/>
    <n v="14539.95"/>
    <n v="82393.05"/>
  </r>
  <r>
    <n v="10978"/>
    <x v="977"/>
    <x v="0"/>
    <x v="4"/>
    <x v="0"/>
    <x v="7"/>
    <n v="30"/>
    <x v="0"/>
    <n v="2"/>
    <n v="13380"/>
    <x v="4"/>
    <n v="26760"/>
    <n v="1338"/>
    <n v="25422"/>
  </r>
  <r>
    <n v="10979"/>
    <x v="978"/>
    <x v="1"/>
    <x v="0"/>
    <x v="0"/>
    <x v="4"/>
    <n v="55"/>
    <x v="2"/>
    <n v="3"/>
    <n v="4747"/>
    <x v="1"/>
    <n v="14241"/>
    <n v="2136.15"/>
    <n v="12104.85"/>
  </r>
  <r>
    <n v="10980"/>
    <x v="979"/>
    <x v="2"/>
    <x v="2"/>
    <x v="2"/>
    <x v="2"/>
    <n v="31"/>
    <x v="0"/>
    <n v="5"/>
    <n v="28866"/>
    <x v="4"/>
    <n v="144330"/>
    <n v="7216.5"/>
    <n v="137113.5"/>
  </r>
  <r>
    <n v="10981"/>
    <x v="980"/>
    <x v="3"/>
    <x v="4"/>
    <x v="1"/>
    <x v="7"/>
    <n v="43"/>
    <x v="4"/>
    <n v="5"/>
    <n v="25944"/>
    <x v="0"/>
    <n v="129720"/>
    <n v="0"/>
    <n v="129720"/>
  </r>
  <r>
    <n v="10982"/>
    <x v="981"/>
    <x v="3"/>
    <x v="4"/>
    <x v="0"/>
    <x v="2"/>
    <n v="49"/>
    <x v="3"/>
    <n v="5"/>
    <n v="43236"/>
    <x v="4"/>
    <n v="216180"/>
    <n v="10809"/>
    <n v="205371"/>
  </r>
  <r>
    <n v="10983"/>
    <x v="982"/>
    <x v="2"/>
    <x v="4"/>
    <x v="1"/>
    <x v="4"/>
    <n v="37"/>
    <x v="4"/>
    <n v="5"/>
    <n v="9943"/>
    <x v="4"/>
    <n v="49715"/>
    <n v="2485.75"/>
    <n v="47229.25"/>
  </r>
  <r>
    <n v="10984"/>
    <x v="983"/>
    <x v="3"/>
    <x v="0"/>
    <x v="0"/>
    <x v="4"/>
    <n v="43"/>
    <x v="4"/>
    <n v="1"/>
    <n v="42973"/>
    <x v="4"/>
    <n v="42973"/>
    <n v="2148.65"/>
    <n v="40824.35"/>
  </r>
  <r>
    <n v="10985"/>
    <x v="984"/>
    <x v="3"/>
    <x v="0"/>
    <x v="1"/>
    <x v="7"/>
    <n v="18"/>
    <x v="1"/>
    <n v="8"/>
    <n v="2635"/>
    <x v="2"/>
    <n v="21080"/>
    <n v="4216"/>
    <n v="16864"/>
  </r>
  <r>
    <n v="10986"/>
    <x v="985"/>
    <x v="3"/>
    <x v="1"/>
    <x v="3"/>
    <x v="4"/>
    <n v="40"/>
    <x v="4"/>
    <n v="2"/>
    <n v="17668"/>
    <x v="1"/>
    <n v="35336"/>
    <n v="5300.4"/>
    <n v="30035.599999999999"/>
  </r>
  <r>
    <n v="10987"/>
    <x v="986"/>
    <x v="0"/>
    <x v="2"/>
    <x v="0"/>
    <x v="4"/>
    <n v="20"/>
    <x v="1"/>
    <n v="7"/>
    <n v="23397"/>
    <x v="4"/>
    <n v="163779"/>
    <n v="8188.95"/>
    <n v="155590.04999999999"/>
  </r>
  <r>
    <n v="10988"/>
    <x v="987"/>
    <x v="2"/>
    <x v="1"/>
    <x v="3"/>
    <x v="3"/>
    <n v="36"/>
    <x v="4"/>
    <n v="6"/>
    <n v="48739"/>
    <x v="3"/>
    <n v="292434"/>
    <n v="29243.4"/>
    <n v="263190.59999999998"/>
  </r>
  <r>
    <n v="10989"/>
    <x v="988"/>
    <x v="0"/>
    <x v="1"/>
    <x v="2"/>
    <x v="6"/>
    <n v="40"/>
    <x v="4"/>
    <n v="6"/>
    <n v="38481"/>
    <x v="4"/>
    <n v="230886"/>
    <n v="11544.3"/>
    <n v="219341.7"/>
  </r>
  <r>
    <n v="10990"/>
    <x v="989"/>
    <x v="2"/>
    <x v="0"/>
    <x v="0"/>
    <x v="0"/>
    <n v="45"/>
    <x v="3"/>
    <n v="4"/>
    <n v="3387"/>
    <x v="0"/>
    <n v="13548"/>
    <n v="0"/>
    <n v="13548"/>
  </r>
  <r>
    <n v="10991"/>
    <x v="990"/>
    <x v="3"/>
    <x v="1"/>
    <x v="3"/>
    <x v="1"/>
    <n v="53"/>
    <x v="3"/>
    <n v="2"/>
    <n v="44030"/>
    <x v="2"/>
    <n v="88060"/>
    <n v="17612"/>
    <n v="70448"/>
  </r>
  <r>
    <n v="10992"/>
    <x v="991"/>
    <x v="1"/>
    <x v="3"/>
    <x v="0"/>
    <x v="1"/>
    <n v="52"/>
    <x v="3"/>
    <n v="4"/>
    <n v="16135"/>
    <x v="1"/>
    <n v="64540"/>
    <n v="9681"/>
    <n v="54859"/>
  </r>
  <r>
    <n v="10993"/>
    <x v="992"/>
    <x v="0"/>
    <x v="4"/>
    <x v="3"/>
    <x v="4"/>
    <n v="52"/>
    <x v="3"/>
    <n v="5"/>
    <n v="48779"/>
    <x v="2"/>
    <n v="243895"/>
    <n v="48779"/>
    <n v="195116"/>
  </r>
  <r>
    <n v="10994"/>
    <x v="993"/>
    <x v="2"/>
    <x v="0"/>
    <x v="1"/>
    <x v="5"/>
    <n v="54"/>
    <x v="3"/>
    <n v="2"/>
    <n v="29314"/>
    <x v="2"/>
    <n v="58628"/>
    <n v="11725.6"/>
    <n v="46902.400000000001"/>
  </r>
  <r>
    <n v="10995"/>
    <x v="994"/>
    <x v="2"/>
    <x v="3"/>
    <x v="3"/>
    <x v="3"/>
    <n v="32"/>
    <x v="0"/>
    <n v="3"/>
    <n v="7018"/>
    <x v="1"/>
    <n v="21054"/>
    <n v="3158.1"/>
    <n v="17895.900000000001"/>
  </r>
  <r>
    <n v="10996"/>
    <x v="995"/>
    <x v="2"/>
    <x v="3"/>
    <x v="1"/>
    <x v="5"/>
    <n v="58"/>
    <x v="2"/>
    <n v="4"/>
    <n v="27674"/>
    <x v="2"/>
    <n v="110696"/>
    <n v="22139.200000000001"/>
    <n v="88556.800000000003"/>
  </r>
  <r>
    <n v="10997"/>
    <x v="996"/>
    <x v="2"/>
    <x v="3"/>
    <x v="2"/>
    <x v="4"/>
    <n v="63"/>
    <x v="2"/>
    <n v="7"/>
    <n v="30750"/>
    <x v="1"/>
    <n v="215250"/>
    <n v="32287.5"/>
    <n v="182962.5"/>
  </r>
  <r>
    <n v="10998"/>
    <x v="997"/>
    <x v="3"/>
    <x v="4"/>
    <x v="3"/>
    <x v="0"/>
    <n v="32"/>
    <x v="0"/>
    <n v="7"/>
    <n v="14480"/>
    <x v="3"/>
    <n v="101360"/>
    <n v="10136"/>
    <n v="91224"/>
  </r>
  <r>
    <n v="10999"/>
    <x v="998"/>
    <x v="3"/>
    <x v="0"/>
    <x v="3"/>
    <x v="3"/>
    <n v="18"/>
    <x v="1"/>
    <n v="6"/>
    <n v="37429"/>
    <x v="4"/>
    <n v="224574"/>
    <n v="11228.7"/>
    <n v="213345.3"/>
  </r>
  <r>
    <n v="11000"/>
    <x v="999"/>
    <x v="3"/>
    <x v="1"/>
    <x v="0"/>
    <x v="3"/>
    <n v="38"/>
    <x v="4"/>
    <n v="3"/>
    <n v="27875"/>
    <x v="3"/>
    <n v="83625"/>
    <n v="8362.5"/>
    <n v="7526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2" rowHeaderCaption="Months">
  <location ref="G1:H13" firstHeaderRow="1" firstDataRow="1" firstDataCol="1"/>
  <pivotFields count="14">
    <pivotField showAll="0"/>
    <pivotField axis="axisRow" numFmtId="164" showAll="0" defaultSubtotal="0">
      <items count="14">
        <item x="0"/>
        <item x="1"/>
        <item x="2"/>
        <item x="3"/>
        <item x="4"/>
        <item x="5"/>
        <item x="6"/>
        <item x="7"/>
        <item x="8"/>
        <item x="9"/>
        <item x="10"/>
        <item x="11"/>
        <item x="12"/>
        <item x="13"/>
      </items>
    </pivotField>
    <pivotField showAll="0">
      <items count="5">
        <item x="3"/>
        <item x="2"/>
        <item x="0"/>
        <item x="1"/>
        <item t="default"/>
      </items>
    </pivotField>
    <pivotField showAll="0">
      <items count="6">
        <item x="1"/>
        <item x="4"/>
        <item x="0"/>
        <item x="3"/>
        <item x="2"/>
        <item t="default"/>
      </items>
    </pivotField>
    <pivotField showAll="0">
      <items count="5">
        <item x="2"/>
        <item x="3"/>
        <item x="0"/>
        <item x="1"/>
        <item t="default"/>
      </items>
    </pivotField>
    <pivotField showAll="0"/>
    <pivotField showAll="0"/>
    <pivotField showAll="0" defaultSubtotal="0"/>
    <pivotField showAll="0"/>
    <pivotField showAll="0"/>
    <pivotField showAll="0"/>
    <pivotField dataField="1" showAll="0"/>
    <pivotField showAll="0"/>
    <pivotField showAll="0"/>
  </pivotFields>
  <rowFields count="1">
    <field x="1"/>
  </rowFields>
  <rowItems count="12">
    <i>
      <x v="1"/>
    </i>
    <i>
      <x v="2"/>
    </i>
    <i>
      <x v="3"/>
    </i>
    <i>
      <x v="4"/>
    </i>
    <i>
      <x v="5"/>
    </i>
    <i>
      <x v="6"/>
    </i>
    <i>
      <x v="7"/>
    </i>
    <i>
      <x v="8"/>
    </i>
    <i>
      <x v="9"/>
    </i>
    <i>
      <x v="10"/>
    </i>
    <i>
      <x v="11"/>
    </i>
    <i>
      <x v="12"/>
    </i>
  </rowItems>
  <colItems count="1">
    <i/>
  </colItems>
  <dataFields count="1">
    <dataField name="Sum of Sales" fld="1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0" rowHeaderCaption="Country">
  <location ref="D1:E6" firstHeaderRow="1" firstDataRow="1" firstDataCol="1"/>
  <pivotFields count="14">
    <pivotField showAll="0"/>
    <pivotField showAll="0">
      <items count="15">
        <item x="0"/>
        <item x="1"/>
        <item x="2"/>
        <item x="3"/>
        <item x="4"/>
        <item x="5"/>
        <item x="6"/>
        <item x="7"/>
        <item x="8"/>
        <item x="9"/>
        <item x="10"/>
        <item x="11"/>
        <item x="12"/>
        <item x="13"/>
        <item t="default"/>
      </items>
    </pivotField>
    <pivotField showAll="0">
      <items count="5">
        <item x="3"/>
        <item x="2"/>
        <item x="0"/>
        <item x="1"/>
        <item t="default"/>
      </items>
    </pivotField>
    <pivotField axis="axisRow" showAll="0">
      <items count="6">
        <item x="1"/>
        <item x="4"/>
        <item x="0"/>
        <item x="3"/>
        <item x="2"/>
        <item t="default"/>
      </items>
    </pivotField>
    <pivotField showAll="0">
      <items count="5">
        <item x="2"/>
        <item x="3"/>
        <item x="0"/>
        <item x="1"/>
        <item t="default"/>
      </items>
    </pivotField>
    <pivotField showAll="0"/>
    <pivotField showAll="0"/>
    <pivotField showAll="0" defaultSubtotal="0"/>
    <pivotField showAll="0"/>
    <pivotField showAll="0"/>
    <pivotField showAll="0"/>
    <pivotField dataField="1" showAll="0"/>
    <pivotField showAll="0"/>
    <pivotField showAll="0"/>
  </pivotFields>
  <rowFields count="1">
    <field x="3"/>
  </rowFields>
  <rowItems count="5">
    <i>
      <x/>
    </i>
    <i>
      <x v="1"/>
    </i>
    <i>
      <x v="2"/>
    </i>
    <i>
      <x v="3"/>
    </i>
    <i>
      <x v="4"/>
    </i>
  </rowItems>
  <colItems count="1">
    <i/>
  </colItems>
  <dataFields count="1">
    <dataField name="Sum of Sales" fld="11"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34" rowHeaderCaption="Region">
  <location ref="A1:B5" firstHeaderRow="1" firstDataRow="1" firstDataCol="1"/>
  <pivotFields count="14">
    <pivotField showAll="0"/>
    <pivotField showAll="0">
      <items count="15">
        <item x="0"/>
        <item x="1"/>
        <item x="2"/>
        <item x="3"/>
        <item x="4"/>
        <item x="5"/>
        <item x="6"/>
        <item x="7"/>
        <item x="8"/>
        <item x="9"/>
        <item x="10"/>
        <item x="11"/>
        <item x="12"/>
        <item x="13"/>
        <item t="default"/>
      </items>
    </pivotField>
    <pivotField axis="axisRow" showAll="0">
      <items count="5">
        <item x="3"/>
        <item x="2"/>
        <item x="0"/>
        <item x="1"/>
        <item t="default"/>
      </items>
    </pivotField>
    <pivotField showAll="0">
      <items count="6">
        <item x="1"/>
        <item x="4"/>
        <item x="0"/>
        <item x="3"/>
        <item x="2"/>
        <item t="default"/>
      </items>
    </pivotField>
    <pivotField showAll="0">
      <items count="5">
        <item x="2"/>
        <item x="3"/>
        <item x="0"/>
        <item x="1"/>
        <item t="default"/>
      </items>
    </pivotField>
    <pivotField showAll="0"/>
    <pivotField showAll="0"/>
    <pivotField showAll="0" defaultSubtotal="0"/>
    <pivotField showAll="0"/>
    <pivotField showAll="0"/>
    <pivotField showAll="0"/>
    <pivotField dataField="1" showAll="0"/>
    <pivotField showAll="0"/>
    <pivotField showAll="0"/>
  </pivotFields>
  <rowFields count="1">
    <field x="2"/>
  </rowFields>
  <rowItems count="4">
    <i>
      <x/>
    </i>
    <i>
      <x v="1"/>
    </i>
    <i>
      <x v="2"/>
    </i>
    <i>
      <x v="3"/>
    </i>
  </rowItems>
  <colItems count="1">
    <i/>
  </colItems>
  <dataFields count="1">
    <dataField name="Sum of Sales" fld="11" baseField="0" baseItem="0"/>
  </dataFields>
  <chartFormats count="6">
    <chartFormat chart="3"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2" rowHeaderCaption="Category">
  <location ref="J1:K5" firstHeaderRow="1" firstDataRow="1" firstDataCol="1"/>
  <pivotFields count="14">
    <pivotField showAll="0"/>
    <pivotField numFmtId="164" showAll="0">
      <items count="15">
        <item x="0"/>
        <item x="1"/>
        <item x="2"/>
        <item x="3"/>
        <item x="4"/>
        <item x="5"/>
        <item x="6"/>
        <item x="7"/>
        <item x="8"/>
        <item x="9"/>
        <item x="10"/>
        <item x="11"/>
        <item x="12"/>
        <item x="13"/>
        <item t="default"/>
      </items>
    </pivotField>
    <pivotField showAll="0">
      <items count="5">
        <item x="3"/>
        <item x="2"/>
        <item x="0"/>
        <item x="1"/>
        <item t="default"/>
      </items>
    </pivotField>
    <pivotField showAll="0">
      <items count="6">
        <item x="1"/>
        <item x="4"/>
        <item x="0"/>
        <item x="3"/>
        <item x="2"/>
        <item t="default"/>
      </items>
    </pivotField>
    <pivotField axis="axisRow" showAll="0">
      <items count="5">
        <item x="2"/>
        <item x="3"/>
        <item x="0"/>
        <item x="1"/>
        <item t="default"/>
      </items>
    </pivotField>
    <pivotField showAll="0"/>
    <pivotField showAll="0"/>
    <pivotField showAll="0" defaultSubtotal="0"/>
    <pivotField showAll="0"/>
    <pivotField showAll="0"/>
    <pivotField showAll="0"/>
    <pivotField dataField="1" showAll="0"/>
    <pivotField showAll="0"/>
    <pivotField showAll="0"/>
  </pivotFields>
  <rowFields count="1">
    <field x="4"/>
  </rowFields>
  <rowItems count="4">
    <i>
      <x/>
    </i>
    <i>
      <x v="1"/>
    </i>
    <i>
      <x v="2"/>
    </i>
    <i>
      <x v="3"/>
    </i>
  </rowItems>
  <colItems count="1">
    <i/>
  </colItems>
  <dataFields count="1">
    <dataField name="Sum of Sales" fld="11" showDataAs="percentOfTotal" baseField="0" baseItem="0" numFmtId="10"/>
  </dataFields>
  <chartFormats count="15">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4" count="1" selected="0">
            <x v="0"/>
          </reference>
        </references>
      </pivotArea>
    </chartFormat>
    <chartFormat chart="1" format="7">
      <pivotArea type="data" outline="0" fieldPosition="0">
        <references count="2">
          <reference field="4294967294" count="1" selected="0">
            <x v="0"/>
          </reference>
          <reference field="4" count="1" selected="0">
            <x v="1"/>
          </reference>
        </references>
      </pivotArea>
    </chartFormat>
    <chartFormat chart="1" format="8">
      <pivotArea type="data" outline="0" fieldPosition="0">
        <references count="2">
          <reference field="4294967294" count="1" selected="0">
            <x v="0"/>
          </reference>
          <reference field="4" count="1" selected="0">
            <x v="2"/>
          </reference>
        </references>
      </pivotArea>
    </chartFormat>
    <chartFormat chart="1" format="9">
      <pivotArea type="data" outline="0" fieldPosition="0">
        <references count="2">
          <reference field="4294967294" count="1" selected="0">
            <x v="0"/>
          </reference>
          <reference field="4"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4" count="1" selected="0">
            <x v="0"/>
          </reference>
        </references>
      </pivotArea>
    </chartFormat>
    <chartFormat chart="2" format="12">
      <pivotArea type="data" outline="0" fieldPosition="0">
        <references count="2">
          <reference field="4294967294" count="1" selected="0">
            <x v="0"/>
          </reference>
          <reference field="4" count="1" selected="0">
            <x v="1"/>
          </reference>
        </references>
      </pivotArea>
    </chartFormat>
    <chartFormat chart="2" format="13">
      <pivotArea type="data" outline="0" fieldPosition="0">
        <references count="2">
          <reference field="4294967294" count="1" selected="0">
            <x v="0"/>
          </reference>
          <reference field="4" count="1" selected="0">
            <x v="2"/>
          </reference>
        </references>
      </pivotArea>
    </chartFormat>
    <chartFormat chart="2" format="14">
      <pivotArea type="data" outline="0" fieldPosition="0">
        <references count="2">
          <reference field="4294967294" count="1" selected="0">
            <x v="0"/>
          </reference>
          <reference field="4"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4" count="1" selected="0">
            <x v="0"/>
          </reference>
        </references>
      </pivotArea>
    </chartFormat>
    <chartFormat chart="7" format="12">
      <pivotArea type="data" outline="0" fieldPosition="0">
        <references count="2">
          <reference field="4294967294" count="1" selected="0">
            <x v="0"/>
          </reference>
          <reference field="4" count="1" selected="0">
            <x v="1"/>
          </reference>
        </references>
      </pivotArea>
    </chartFormat>
    <chartFormat chart="7" format="13">
      <pivotArea type="data" outline="0" fieldPosition="0">
        <references count="2">
          <reference field="4294967294" count="1" selected="0">
            <x v="0"/>
          </reference>
          <reference field="4" count="1" selected="0">
            <x v="2"/>
          </reference>
        </references>
      </pivotArea>
    </chartFormat>
    <chartFormat chart="7"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9"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6" rowHeaderCaption="Sub_Category">
  <location ref="D1:F9" firstHeaderRow="0" firstDataRow="1" firstDataCol="1"/>
  <pivotFields count="14">
    <pivotField showAll="0"/>
    <pivotField numFmtId="164" showAll="0">
      <items count="15">
        <item x="0"/>
        <item x="1"/>
        <item x="2"/>
        <item x="3"/>
        <item x="4"/>
        <item x="5"/>
        <item x="6"/>
        <item x="7"/>
        <item x="8"/>
        <item x="9"/>
        <item x="10"/>
        <item x="11"/>
        <item x="12"/>
        <item x="13"/>
        <item t="default"/>
      </items>
    </pivotField>
    <pivotField showAll="0">
      <items count="5">
        <item x="3"/>
        <item x="2"/>
        <item x="0"/>
        <item x="1"/>
        <item t="default"/>
      </items>
    </pivotField>
    <pivotField showAll="0">
      <items count="6">
        <item x="1"/>
        <item x="4"/>
        <item x="0"/>
        <item x="3"/>
        <item x="2"/>
        <item t="default"/>
      </items>
    </pivotField>
    <pivotField showAll="0">
      <items count="5">
        <item x="2"/>
        <item x="3"/>
        <item x="0"/>
        <item x="1"/>
        <item t="default"/>
      </items>
    </pivotField>
    <pivotField axis="axisRow" showAll="0" measureFilter="1">
      <items count="9">
        <item x="3"/>
        <item x="5"/>
        <item x="1"/>
        <item x="2"/>
        <item x="0"/>
        <item x="4"/>
        <item x="7"/>
        <item x="6"/>
        <item t="default"/>
      </items>
    </pivotField>
    <pivotField showAll="0"/>
    <pivotField showAll="0"/>
    <pivotField showAll="0"/>
    <pivotField showAll="0"/>
    <pivotField showAll="0"/>
    <pivotField dataField="1" showAll="0"/>
    <pivotField showAll="0"/>
    <pivotField dataField="1" showAll="0"/>
  </pivotFields>
  <rowFields count="1">
    <field x="5"/>
  </rowFields>
  <rowItems count="8">
    <i>
      <x/>
    </i>
    <i>
      <x v="1"/>
    </i>
    <i>
      <x v="2"/>
    </i>
    <i>
      <x v="3"/>
    </i>
    <i>
      <x v="4"/>
    </i>
    <i>
      <x v="5"/>
    </i>
    <i>
      <x v="6"/>
    </i>
    <i>
      <x v="7"/>
    </i>
  </rowItems>
  <colFields count="1">
    <field x="-2"/>
  </colFields>
  <colItems count="2">
    <i>
      <x/>
    </i>
    <i i="1">
      <x v="1"/>
    </i>
  </colItems>
  <dataFields count="2">
    <dataField name="Sum of Sales" fld="11" baseField="0" baseItem="0"/>
    <dataField name="Sum of Profit" fld="13" baseField="0" baseItem="0"/>
  </dataField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5" type="valueGreaterThan" evalOrder="-1" id="5" iMeasureFld="1">
      <autoFilter ref="A1">
        <filterColumn colId="0">
          <customFilters>
            <customFilter operator="greaterThan" val="10000"/>
          </customFilters>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7"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9" rowHeaderCaption="Sub_Category">
  <location ref="A1:B6" firstHeaderRow="1" firstDataRow="1" firstDataCol="1"/>
  <pivotFields count="14">
    <pivotField showAll="0"/>
    <pivotField numFmtId="164" showAll="0">
      <items count="15">
        <item x="0"/>
        <item x="1"/>
        <item x="2"/>
        <item x="3"/>
        <item x="4"/>
        <item x="5"/>
        <item x="6"/>
        <item x="7"/>
        <item x="8"/>
        <item x="9"/>
        <item x="10"/>
        <item x="11"/>
        <item x="12"/>
        <item x="13"/>
        <item t="default"/>
      </items>
    </pivotField>
    <pivotField showAll="0">
      <items count="5">
        <item x="3"/>
        <item x="2"/>
        <item x="0"/>
        <item x="1"/>
        <item t="default"/>
      </items>
    </pivotField>
    <pivotField showAll="0">
      <items count="6">
        <item x="1"/>
        <item x="4"/>
        <item x="0"/>
        <item x="3"/>
        <item x="2"/>
        <item t="default"/>
      </items>
    </pivotField>
    <pivotField showAll="0">
      <items count="5">
        <item x="2"/>
        <item x="3"/>
        <item x="0"/>
        <item x="1"/>
        <item t="default"/>
      </items>
    </pivotField>
    <pivotField axis="axisRow" showAll="0" measureFilter="1">
      <items count="9">
        <item x="3"/>
        <item x="5"/>
        <item x="1"/>
        <item x="2"/>
        <item x="0"/>
        <item x="4"/>
        <item x="7"/>
        <item x="6"/>
        <item t="default"/>
      </items>
    </pivotField>
    <pivotField showAll="0"/>
    <pivotField showAll="0"/>
    <pivotField dataField="1" showAll="0"/>
    <pivotField showAll="0"/>
    <pivotField showAll="0"/>
    <pivotField showAll="0"/>
    <pivotField showAll="0"/>
    <pivotField showAll="0"/>
  </pivotFields>
  <rowFields count="1">
    <field x="5"/>
  </rowFields>
  <rowItems count="5">
    <i>
      <x/>
    </i>
    <i>
      <x v="1"/>
    </i>
    <i>
      <x v="2"/>
    </i>
    <i>
      <x v="4"/>
    </i>
    <i>
      <x v="7"/>
    </i>
  </rowItems>
  <colItems count="1">
    <i/>
  </colItems>
  <dataFields count="1">
    <dataField name="Sum of Quantity" fld="8" baseField="0" baseItem="0"/>
  </dataFields>
  <formats count="1">
    <format dxfId="0">
      <pivotArea field="5" type="button" dataOnly="0" labelOnly="1" outline="0" axis="axisRow"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6" name="PivotTable17"/>
    <pivotTable tabId="6" name="PivotTable19"/>
    <pivotTable tabId="2" name="PivotTable2"/>
    <pivotTable tabId="2" name="PivotTable3"/>
    <pivotTable tabId="2" name="PivotTable4"/>
  </pivotTables>
  <data>
    <tabular pivotCacheId="1">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rder_Date" sourceName="Order_Date">
  <pivotTables>
    <pivotTable tabId="6" name="PivotTable17"/>
    <pivotTable tabId="6" name="PivotTable19"/>
    <pivotTable tabId="2" name="PivotTable1"/>
    <pivotTable tabId="2" name="PivotTable2"/>
    <pivotTable tabId="2" name="PivotTable3"/>
    <pivotTable tabId="2" name="PivotTable4"/>
  </pivotTables>
  <data>
    <tabular pivotCacheId="1">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4"/>
    <pivotTable tabId="2" name="PivotTable1"/>
    <pivotTable tabId="2" name="PivotTable2"/>
    <pivotTable tabId="2" name="PivotTable3"/>
  </pivotTables>
  <data>
    <tabular pivotCacheId="1">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2" name="PivotTable2"/>
    <pivotTable tabId="6" name="PivotTable17"/>
    <pivotTable tabId="6" name="PivotTable19"/>
    <pivotTable tabId="2" name="PivotTable1"/>
    <pivotTable tabId="2" name="PivotTable3"/>
    <pivotTable tabId="2" name="PivotTable4"/>
  </pivotTables>
  <data>
    <tabular pivotCacheId="1">
      <items count="5">
        <i x="1" s="1"/>
        <i x="4"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1" cache="Slicer_Region" caption="Region" columnCount="2" rowHeight="241300"/>
  <slicer name="Months 1" cache="Slicer_Order_Date" caption="Months" columnCount="3" style="SlicerStyleLight5" rowHeight="241300"/>
  <slicer name="Category" cache="Slicer_Category" caption="Category" columnCount="2" rowHeight="241300"/>
  <slicer name="Country" cache="Slicer_Country" caption="Count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P1001"/>
  <sheetViews>
    <sheetView zoomScaleNormal="100" workbookViewId="0">
      <selection activeCell="Q9" sqref="Q9"/>
    </sheetView>
  </sheetViews>
  <sheetFormatPr defaultRowHeight="15" x14ac:dyDescent="0.25"/>
  <cols>
    <col min="1" max="1" width="11.140625" customWidth="1"/>
    <col min="2" max="2" width="18" bestFit="1" customWidth="1"/>
    <col min="3" max="3" width="9.28515625" customWidth="1"/>
    <col min="4" max="4" width="10.140625" customWidth="1"/>
    <col min="5" max="5" width="11" customWidth="1"/>
    <col min="6" max="6" width="15.28515625" customWidth="1"/>
    <col min="7" max="8" width="16.140625" customWidth="1"/>
    <col min="9" max="9" width="10.85546875" customWidth="1"/>
    <col min="10" max="10" width="12.42578125" customWidth="1"/>
    <col min="11" max="11" width="13.42578125" customWidth="1"/>
    <col min="12" max="12" width="9" customWidth="1"/>
    <col min="13" max="13" width="19" customWidth="1"/>
    <col min="14" max="14" width="10" bestFit="1" customWidth="1"/>
    <col min="16" max="16" width="16" bestFit="1" customWidth="1"/>
  </cols>
  <sheetData>
    <row r="1" spans="1:16" x14ac:dyDescent="0.25">
      <c r="A1" t="s">
        <v>0</v>
      </c>
      <c r="B1" t="s">
        <v>1</v>
      </c>
      <c r="C1" t="s">
        <v>2</v>
      </c>
      <c r="D1" t="s">
        <v>3</v>
      </c>
      <c r="E1" t="s">
        <v>4</v>
      </c>
      <c r="F1" t="s">
        <v>5</v>
      </c>
      <c r="G1" t="s">
        <v>6</v>
      </c>
      <c r="H1" t="s">
        <v>49</v>
      </c>
      <c r="I1" t="s">
        <v>7</v>
      </c>
      <c r="J1" t="s">
        <v>8</v>
      </c>
      <c r="K1" t="s">
        <v>9</v>
      </c>
      <c r="L1" t="s">
        <v>10</v>
      </c>
      <c r="M1" t="s">
        <v>11</v>
      </c>
      <c r="N1" t="s">
        <v>12</v>
      </c>
    </row>
    <row r="2" spans="1:16" x14ac:dyDescent="0.25">
      <c r="A2">
        <v>10001</v>
      </c>
      <c r="B2" s="4">
        <v>44927</v>
      </c>
      <c r="C2" t="s">
        <v>13</v>
      </c>
      <c r="D2" t="s">
        <v>14</v>
      </c>
      <c r="E2" t="s">
        <v>15</v>
      </c>
      <c r="F2" t="s">
        <v>16</v>
      </c>
      <c r="G2">
        <v>33</v>
      </c>
      <c r="H2" t="str">
        <f>IF(G2&lt;25,"18-24",IF(G2&lt;35,"25-34",IF(G2&lt;45,"35-44",IF(G2&lt;55,"45-54","55+"))))</f>
        <v>25-34</v>
      </c>
      <c r="I2">
        <v>5</v>
      </c>
      <c r="J2">
        <v>1977</v>
      </c>
      <c r="K2">
        <v>0</v>
      </c>
      <c r="L2">
        <v>9885</v>
      </c>
      <c r="M2">
        <v>0</v>
      </c>
      <c r="N2">
        <v>9885</v>
      </c>
    </row>
    <row r="3" spans="1:16" x14ac:dyDescent="0.25">
      <c r="A3">
        <v>10002</v>
      </c>
      <c r="B3" s="4">
        <v>44928</v>
      </c>
      <c r="C3" t="s">
        <v>17</v>
      </c>
      <c r="D3" t="s">
        <v>18</v>
      </c>
      <c r="E3" t="s">
        <v>19</v>
      </c>
      <c r="F3" t="s">
        <v>20</v>
      </c>
      <c r="G3">
        <v>29</v>
      </c>
      <c r="H3" t="str">
        <f t="shared" ref="H3:H66" si="0">IF(G3&lt;25,"18-24",IF(G3&lt;35,"25-34",IF(G3&lt;45,"35-44",IF(G3&lt;55,"45-54","55+"))))</f>
        <v>25-34</v>
      </c>
      <c r="I3">
        <v>8</v>
      </c>
      <c r="J3">
        <v>40037</v>
      </c>
      <c r="K3">
        <v>15</v>
      </c>
      <c r="L3">
        <v>320296</v>
      </c>
      <c r="M3">
        <v>48044.4</v>
      </c>
      <c r="N3">
        <v>272251.59999999998</v>
      </c>
    </row>
    <row r="4" spans="1:16" x14ac:dyDescent="0.25">
      <c r="A4">
        <v>10003</v>
      </c>
      <c r="B4" s="4">
        <v>44929</v>
      </c>
      <c r="C4" t="s">
        <v>21</v>
      </c>
      <c r="D4" t="s">
        <v>22</v>
      </c>
      <c r="E4" t="s">
        <v>19</v>
      </c>
      <c r="F4" t="s">
        <v>23</v>
      </c>
      <c r="G4">
        <v>22</v>
      </c>
      <c r="H4" t="str">
        <f t="shared" si="0"/>
        <v>18-24</v>
      </c>
      <c r="I4">
        <v>4</v>
      </c>
      <c r="J4">
        <v>40658</v>
      </c>
      <c r="K4">
        <v>20</v>
      </c>
      <c r="L4">
        <v>162632</v>
      </c>
      <c r="M4">
        <v>32526.400000000001</v>
      </c>
      <c r="N4">
        <v>130105.60000000001</v>
      </c>
      <c r="P4" s="10"/>
    </row>
    <row r="5" spans="1:16" x14ac:dyDescent="0.25">
      <c r="A5">
        <v>10004</v>
      </c>
      <c r="B5" s="4">
        <v>44930</v>
      </c>
      <c r="C5" t="s">
        <v>21</v>
      </c>
      <c r="D5" t="s">
        <v>18</v>
      </c>
      <c r="E5" t="s">
        <v>19</v>
      </c>
      <c r="F5" t="s">
        <v>24</v>
      </c>
      <c r="G5">
        <v>62</v>
      </c>
      <c r="H5" t="str">
        <f t="shared" si="0"/>
        <v>55+</v>
      </c>
      <c r="I5">
        <v>8</v>
      </c>
      <c r="J5">
        <v>27479</v>
      </c>
      <c r="K5">
        <v>15</v>
      </c>
      <c r="L5">
        <v>219832</v>
      </c>
      <c r="M5">
        <v>32974.800000000003</v>
      </c>
      <c r="N5">
        <v>186857.2</v>
      </c>
    </row>
    <row r="6" spans="1:16" x14ac:dyDescent="0.25">
      <c r="A6">
        <v>10005</v>
      </c>
      <c r="B6" s="4">
        <v>44931</v>
      </c>
      <c r="C6" t="s">
        <v>17</v>
      </c>
      <c r="D6" t="s">
        <v>14</v>
      </c>
      <c r="E6" t="s">
        <v>25</v>
      </c>
      <c r="F6" t="s">
        <v>26</v>
      </c>
      <c r="G6">
        <v>25</v>
      </c>
      <c r="H6" t="str">
        <f t="shared" si="0"/>
        <v>25-34</v>
      </c>
      <c r="I6">
        <v>9</v>
      </c>
      <c r="J6">
        <v>30713</v>
      </c>
      <c r="K6">
        <v>20</v>
      </c>
      <c r="L6">
        <v>276417</v>
      </c>
      <c r="M6">
        <v>55283.4</v>
      </c>
      <c r="N6">
        <v>221133.6</v>
      </c>
      <c r="P6" s="9"/>
    </row>
    <row r="7" spans="1:16" x14ac:dyDescent="0.25">
      <c r="A7">
        <v>10006</v>
      </c>
      <c r="B7" s="4">
        <v>44932</v>
      </c>
      <c r="C7" t="s">
        <v>13</v>
      </c>
      <c r="D7" t="s">
        <v>27</v>
      </c>
      <c r="E7" t="s">
        <v>15</v>
      </c>
      <c r="F7" t="s">
        <v>28</v>
      </c>
      <c r="G7">
        <v>48</v>
      </c>
      <c r="H7" t="str">
        <f t="shared" si="0"/>
        <v>45-54</v>
      </c>
      <c r="I7">
        <v>6</v>
      </c>
      <c r="J7">
        <v>13469</v>
      </c>
      <c r="K7">
        <v>10</v>
      </c>
      <c r="L7">
        <v>80814</v>
      </c>
      <c r="M7">
        <v>8081.4</v>
      </c>
      <c r="N7">
        <v>72732.600000000006</v>
      </c>
    </row>
    <row r="8" spans="1:16" x14ac:dyDescent="0.25">
      <c r="A8">
        <v>10007</v>
      </c>
      <c r="B8" s="4">
        <v>44933</v>
      </c>
      <c r="C8" t="s">
        <v>17</v>
      </c>
      <c r="D8" t="s">
        <v>29</v>
      </c>
      <c r="E8" t="s">
        <v>25</v>
      </c>
      <c r="F8" t="s">
        <v>30</v>
      </c>
      <c r="G8">
        <v>42</v>
      </c>
      <c r="H8" t="str">
        <f t="shared" si="0"/>
        <v>35-44</v>
      </c>
      <c r="I8">
        <v>3</v>
      </c>
      <c r="J8">
        <v>10458</v>
      </c>
      <c r="K8">
        <v>10</v>
      </c>
      <c r="L8">
        <v>31374</v>
      </c>
      <c r="M8">
        <v>3137.4</v>
      </c>
      <c r="N8">
        <v>28236.6</v>
      </c>
      <c r="P8" s="11"/>
    </row>
    <row r="9" spans="1:16" x14ac:dyDescent="0.25">
      <c r="A9">
        <v>10008</v>
      </c>
      <c r="B9" s="4">
        <v>44934</v>
      </c>
      <c r="C9" t="s">
        <v>13</v>
      </c>
      <c r="D9" t="s">
        <v>27</v>
      </c>
      <c r="E9" t="s">
        <v>25</v>
      </c>
      <c r="F9" t="s">
        <v>28</v>
      </c>
      <c r="G9">
        <v>34</v>
      </c>
      <c r="H9" t="str">
        <f t="shared" si="0"/>
        <v>25-34</v>
      </c>
      <c r="I9">
        <v>2</v>
      </c>
      <c r="J9">
        <v>39290</v>
      </c>
      <c r="K9">
        <v>20</v>
      </c>
      <c r="L9">
        <v>78580</v>
      </c>
      <c r="M9">
        <v>15716</v>
      </c>
      <c r="N9">
        <v>62864</v>
      </c>
      <c r="P9" s="13"/>
    </row>
    <row r="10" spans="1:16" x14ac:dyDescent="0.25">
      <c r="A10">
        <v>10009</v>
      </c>
      <c r="B10" s="4">
        <v>44935</v>
      </c>
      <c r="C10" t="s">
        <v>17</v>
      </c>
      <c r="D10" t="s">
        <v>22</v>
      </c>
      <c r="E10" t="s">
        <v>25</v>
      </c>
      <c r="F10" t="s">
        <v>20</v>
      </c>
      <c r="G10">
        <v>55</v>
      </c>
      <c r="H10" t="str">
        <f t="shared" si="0"/>
        <v>55+</v>
      </c>
      <c r="I10">
        <v>3</v>
      </c>
      <c r="J10">
        <v>22004</v>
      </c>
      <c r="K10">
        <v>10</v>
      </c>
      <c r="L10">
        <v>66012</v>
      </c>
      <c r="M10">
        <v>6601.2</v>
      </c>
      <c r="N10">
        <v>59410.8</v>
      </c>
      <c r="P10" s="9"/>
    </row>
    <row r="11" spans="1:16" x14ac:dyDescent="0.25">
      <c r="A11">
        <v>10010</v>
      </c>
      <c r="B11" s="4">
        <v>44936</v>
      </c>
      <c r="C11" t="s">
        <v>21</v>
      </c>
      <c r="D11" t="s">
        <v>29</v>
      </c>
      <c r="E11" t="s">
        <v>15</v>
      </c>
      <c r="F11" t="s">
        <v>23</v>
      </c>
      <c r="G11">
        <v>35</v>
      </c>
      <c r="H11" t="str">
        <f t="shared" si="0"/>
        <v>35-44</v>
      </c>
      <c r="I11">
        <v>6</v>
      </c>
      <c r="J11">
        <v>4000</v>
      </c>
      <c r="K11">
        <v>5</v>
      </c>
      <c r="L11">
        <v>24000</v>
      </c>
      <c r="M11">
        <v>1200</v>
      </c>
      <c r="N11">
        <v>22800</v>
      </c>
    </row>
    <row r="12" spans="1:16" x14ac:dyDescent="0.25">
      <c r="A12">
        <v>10011</v>
      </c>
      <c r="B12" s="4">
        <v>44937</v>
      </c>
      <c r="C12" t="s">
        <v>21</v>
      </c>
      <c r="D12" t="s">
        <v>22</v>
      </c>
      <c r="E12" t="s">
        <v>25</v>
      </c>
      <c r="F12" t="s">
        <v>16</v>
      </c>
      <c r="G12">
        <v>32</v>
      </c>
      <c r="H12" t="str">
        <f t="shared" si="0"/>
        <v>25-34</v>
      </c>
      <c r="I12">
        <v>9</v>
      </c>
      <c r="J12">
        <v>24882</v>
      </c>
      <c r="K12">
        <v>15</v>
      </c>
      <c r="L12">
        <v>223938</v>
      </c>
      <c r="M12">
        <v>33590.699999999997</v>
      </c>
      <c r="N12">
        <v>190347.3</v>
      </c>
      <c r="P12" s="12"/>
    </row>
    <row r="13" spans="1:16" x14ac:dyDescent="0.25">
      <c r="A13">
        <v>10012</v>
      </c>
      <c r="B13" s="4">
        <v>44938</v>
      </c>
      <c r="C13" t="s">
        <v>13</v>
      </c>
      <c r="D13" t="s">
        <v>22</v>
      </c>
      <c r="E13" t="s">
        <v>15</v>
      </c>
      <c r="F13" t="s">
        <v>31</v>
      </c>
      <c r="G13">
        <v>58</v>
      </c>
      <c r="H13" t="str">
        <f t="shared" si="0"/>
        <v>55+</v>
      </c>
      <c r="I13">
        <v>4</v>
      </c>
      <c r="J13">
        <v>26430</v>
      </c>
      <c r="K13">
        <v>5</v>
      </c>
      <c r="L13">
        <v>105720</v>
      </c>
      <c r="M13">
        <v>5286</v>
      </c>
      <c r="N13">
        <v>100434</v>
      </c>
    </row>
    <row r="14" spans="1:16" x14ac:dyDescent="0.25">
      <c r="A14">
        <v>10013</v>
      </c>
      <c r="B14" s="4">
        <v>44939</v>
      </c>
      <c r="C14" t="s">
        <v>21</v>
      </c>
      <c r="D14" t="s">
        <v>27</v>
      </c>
      <c r="E14" t="s">
        <v>19</v>
      </c>
      <c r="F14" t="s">
        <v>31</v>
      </c>
      <c r="G14">
        <v>29</v>
      </c>
      <c r="H14" t="str">
        <f t="shared" si="0"/>
        <v>25-34</v>
      </c>
      <c r="I14">
        <v>5</v>
      </c>
      <c r="J14">
        <v>3812</v>
      </c>
      <c r="K14">
        <v>10</v>
      </c>
      <c r="L14">
        <v>19060</v>
      </c>
      <c r="M14">
        <v>1906</v>
      </c>
      <c r="N14">
        <v>17154</v>
      </c>
    </row>
    <row r="15" spans="1:16" x14ac:dyDescent="0.25">
      <c r="A15">
        <v>10014</v>
      </c>
      <c r="B15" s="4">
        <v>44940</v>
      </c>
      <c r="C15" t="s">
        <v>17</v>
      </c>
      <c r="D15" t="s">
        <v>14</v>
      </c>
      <c r="E15" t="s">
        <v>32</v>
      </c>
      <c r="F15" t="s">
        <v>28</v>
      </c>
      <c r="G15">
        <v>18</v>
      </c>
      <c r="H15" t="str">
        <f t="shared" si="0"/>
        <v>18-24</v>
      </c>
      <c r="I15">
        <v>3</v>
      </c>
      <c r="J15">
        <v>25609</v>
      </c>
      <c r="K15">
        <v>15</v>
      </c>
      <c r="L15">
        <v>76827</v>
      </c>
      <c r="M15">
        <v>11524.05</v>
      </c>
      <c r="N15">
        <v>65302.95</v>
      </c>
    </row>
    <row r="16" spans="1:16" x14ac:dyDescent="0.25">
      <c r="A16">
        <v>10015</v>
      </c>
      <c r="B16" s="4">
        <v>44941</v>
      </c>
      <c r="C16" t="s">
        <v>13</v>
      </c>
      <c r="D16" t="s">
        <v>18</v>
      </c>
      <c r="E16" t="s">
        <v>25</v>
      </c>
      <c r="F16" t="s">
        <v>24</v>
      </c>
      <c r="G16">
        <v>41</v>
      </c>
      <c r="H16" t="str">
        <f t="shared" si="0"/>
        <v>35-44</v>
      </c>
      <c r="I16">
        <v>5</v>
      </c>
      <c r="J16">
        <v>214</v>
      </c>
      <c r="K16">
        <v>15</v>
      </c>
      <c r="L16">
        <v>1070</v>
      </c>
      <c r="M16">
        <v>160.5</v>
      </c>
      <c r="N16">
        <v>909.5</v>
      </c>
      <c r="P16" s="12"/>
    </row>
    <row r="17" spans="1:16" x14ac:dyDescent="0.25">
      <c r="A17">
        <v>10016</v>
      </c>
      <c r="B17" s="4">
        <v>44942</v>
      </c>
      <c r="C17" t="s">
        <v>21</v>
      </c>
      <c r="D17" t="s">
        <v>18</v>
      </c>
      <c r="E17" t="s">
        <v>32</v>
      </c>
      <c r="F17" t="s">
        <v>30</v>
      </c>
      <c r="G17">
        <v>35</v>
      </c>
      <c r="H17" t="str">
        <f t="shared" si="0"/>
        <v>35-44</v>
      </c>
      <c r="I17">
        <v>6</v>
      </c>
      <c r="J17">
        <v>608</v>
      </c>
      <c r="K17">
        <v>15</v>
      </c>
      <c r="L17">
        <v>3648</v>
      </c>
      <c r="M17">
        <v>547.20000000000005</v>
      </c>
      <c r="N17">
        <v>3100.8</v>
      </c>
    </row>
    <row r="18" spans="1:16" x14ac:dyDescent="0.25">
      <c r="A18">
        <v>10017</v>
      </c>
      <c r="B18" s="4">
        <v>44943</v>
      </c>
      <c r="C18" t="s">
        <v>33</v>
      </c>
      <c r="D18" t="s">
        <v>27</v>
      </c>
      <c r="E18" t="s">
        <v>32</v>
      </c>
      <c r="F18" t="s">
        <v>30</v>
      </c>
      <c r="G18">
        <v>44</v>
      </c>
      <c r="H18" t="str">
        <f t="shared" si="0"/>
        <v>35-44</v>
      </c>
      <c r="I18">
        <v>8</v>
      </c>
      <c r="J18">
        <v>25545</v>
      </c>
      <c r="K18">
        <v>10</v>
      </c>
      <c r="L18">
        <v>204360</v>
      </c>
      <c r="M18">
        <v>20436</v>
      </c>
      <c r="N18">
        <v>183924</v>
      </c>
    </row>
    <row r="19" spans="1:16" x14ac:dyDescent="0.25">
      <c r="A19">
        <v>10018</v>
      </c>
      <c r="B19" s="4">
        <v>44944</v>
      </c>
      <c r="C19" t="s">
        <v>13</v>
      </c>
      <c r="D19" t="s">
        <v>27</v>
      </c>
      <c r="E19" t="s">
        <v>25</v>
      </c>
      <c r="F19" t="s">
        <v>23</v>
      </c>
      <c r="G19">
        <v>30</v>
      </c>
      <c r="H19" t="str">
        <f t="shared" si="0"/>
        <v>25-34</v>
      </c>
      <c r="I19">
        <v>2</v>
      </c>
      <c r="J19">
        <v>39604</v>
      </c>
      <c r="K19">
        <v>10</v>
      </c>
      <c r="L19">
        <v>79208</v>
      </c>
      <c r="M19">
        <v>7920.8</v>
      </c>
      <c r="N19">
        <v>71287.199999999997</v>
      </c>
    </row>
    <row r="20" spans="1:16" x14ac:dyDescent="0.25">
      <c r="A20">
        <v>10019</v>
      </c>
      <c r="B20" s="4">
        <v>44945</v>
      </c>
      <c r="C20" t="s">
        <v>33</v>
      </c>
      <c r="D20" t="s">
        <v>18</v>
      </c>
      <c r="E20" t="s">
        <v>25</v>
      </c>
      <c r="F20" t="s">
        <v>30</v>
      </c>
      <c r="G20">
        <v>35</v>
      </c>
      <c r="H20" t="str">
        <f t="shared" si="0"/>
        <v>35-44</v>
      </c>
      <c r="I20">
        <v>9</v>
      </c>
      <c r="J20">
        <v>12725</v>
      </c>
      <c r="K20">
        <v>5</v>
      </c>
      <c r="L20">
        <v>114525</v>
      </c>
      <c r="M20">
        <v>5726.25</v>
      </c>
      <c r="N20">
        <v>108798.75</v>
      </c>
    </row>
    <row r="21" spans="1:16" x14ac:dyDescent="0.25">
      <c r="A21">
        <v>10020</v>
      </c>
      <c r="B21" s="4">
        <v>44946</v>
      </c>
      <c r="C21" t="s">
        <v>21</v>
      </c>
      <c r="D21" t="s">
        <v>14</v>
      </c>
      <c r="E21" t="s">
        <v>25</v>
      </c>
      <c r="F21" t="s">
        <v>24</v>
      </c>
      <c r="G21">
        <v>46</v>
      </c>
      <c r="H21" t="str">
        <f t="shared" si="0"/>
        <v>45-54</v>
      </c>
      <c r="I21">
        <v>5</v>
      </c>
      <c r="J21">
        <v>32544</v>
      </c>
      <c r="K21">
        <v>0</v>
      </c>
      <c r="L21">
        <v>162720</v>
      </c>
      <c r="M21">
        <v>0</v>
      </c>
      <c r="N21">
        <v>162720</v>
      </c>
    </row>
    <row r="22" spans="1:16" x14ac:dyDescent="0.25">
      <c r="A22">
        <v>10021</v>
      </c>
      <c r="B22" s="4">
        <v>44947</v>
      </c>
      <c r="C22" t="s">
        <v>33</v>
      </c>
      <c r="D22" t="s">
        <v>14</v>
      </c>
      <c r="E22" t="s">
        <v>19</v>
      </c>
      <c r="F22" t="s">
        <v>20</v>
      </c>
      <c r="G22">
        <v>53</v>
      </c>
      <c r="H22" t="str">
        <f t="shared" si="0"/>
        <v>45-54</v>
      </c>
      <c r="I22">
        <v>4</v>
      </c>
      <c r="J22">
        <v>42944</v>
      </c>
      <c r="K22">
        <v>20</v>
      </c>
      <c r="L22">
        <v>171776</v>
      </c>
      <c r="M22">
        <v>34355.199999999997</v>
      </c>
      <c r="N22">
        <v>137420.79999999999</v>
      </c>
    </row>
    <row r="23" spans="1:16" x14ac:dyDescent="0.25">
      <c r="A23">
        <v>10022</v>
      </c>
      <c r="B23" s="4">
        <v>44948</v>
      </c>
      <c r="C23" t="s">
        <v>13</v>
      </c>
      <c r="D23" t="s">
        <v>29</v>
      </c>
      <c r="E23" t="s">
        <v>15</v>
      </c>
      <c r="F23" t="s">
        <v>16</v>
      </c>
      <c r="G23">
        <v>34</v>
      </c>
      <c r="H23" t="str">
        <f t="shared" si="0"/>
        <v>25-34</v>
      </c>
      <c r="I23">
        <v>1</v>
      </c>
      <c r="J23">
        <v>6093</v>
      </c>
      <c r="K23">
        <v>5</v>
      </c>
      <c r="L23">
        <v>6093</v>
      </c>
      <c r="M23">
        <v>304.64999999999998</v>
      </c>
      <c r="N23">
        <v>5788.35</v>
      </c>
      <c r="P23" s="8"/>
    </row>
    <row r="24" spans="1:16" x14ac:dyDescent="0.25">
      <c r="A24">
        <v>10023</v>
      </c>
      <c r="B24" s="4">
        <v>44949</v>
      </c>
      <c r="C24" t="s">
        <v>33</v>
      </c>
      <c r="D24" t="s">
        <v>18</v>
      </c>
      <c r="E24" t="s">
        <v>32</v>
      </c>
      <c r="F24" t="s">
        <v>28</v>
      </c>
      <c r="G24">
        <v>26</v>
      </c>
      <c r="H24" t="str">
        <f t="shared" si="0"/>
        <v>25-34</v>
      </c>
      <c r="I24">
        <v>2</v>
      </c>
      <c r="J24">
        <v>46203</v>
      </c>
      <c r="K24">
        <v>15</v>
      </c>
      <c r="L24">
        <v>92406</v>
      </c>
      <c r="M24">
        <v>13860.9</v>
      </c>
      <c r="N24">
        <v>78545.100000000006</v>
      </c>
    </row>
    <row r="25" spans="1:16" x14ac:dyDescent="0.25">
      <c r="A25">
        <v>10024</v>
      </c>
      <c r="B25" s="4">
        <v>44950</v>
      </c>
      <c r="C25" t="s">
        <v>21</v>
      </c>
      <c r="D25" t="s">
        <v>18</v>
      </c>
      <c r="E25" t="s">
        <v>25</v>
      </c>
      <c r="F25" t="s">
        <v>30</v>
      </c>
      <c r="G25">
        <v>34</v>
      </c>
      <c r="H25" t="str">
        <f t="shared" si="0"/>
        <v>25-34</v>
      </c>
      <c r="I25">
        <v>8</v>
      </c>
      <c r="J25">
        <v>36720</v>
      </c>
      <c r="K25">
        <v>15</v>
      </c>
      <c r="L25">
        <v>293760</v>
      </c>
      <c r="M25">
        <v>44064</v>
      </c>
      <c r="N25">
        <v>249696</v>
      </c>
    </row>
    <row r="26" spans="1:16" x14ac:dyDescent="0.25">
      <c r="A26">
        <v>10025</v>
      </c>
      <c r="B26" s="4">
        <v>44951</v>
      </c>
      <c r="C26" t="s">
        <v>17</v>
      </c>
      <c r="D26" t="s">
        <v>29</v>
      </c>
      <c r="E26" t="s">
        <v>15</v>
      </c>
      <c r="F26" t="s">
        <v>16</v>
      </c>
      <c r="G26">
        <v>24</v>
      </c>
      <c r="H26" t="str">
        <f t="shared" si="0"/>
        <v>18-24</v>
      </c>
      <c r="I26">
        <v>2</v>
      </c>
      <c r="J26">
        <v>48716</v>
      </c>
      <c r="K26">
        <v>10</v>
      </c>
      <c r="L26">
        <v>97432</v>
      </c>
      <c r="M26">
        <v>9743.2000000000007</v>
      </c>
      <c r="N26">
        <v>87688.8</v>
      </c>
    </row>
    <row r="27" spans="1:16" x14ac:dyDescent="0.25">
      <c r="A27">
        <v>10026</v>
      </c>
      <c r="B27" s="4">
        <v>44952</v>
      </c>
      <c r="C27" t="s">
        <v>21</v>
      </c>
      <c r="D27" t="s">
        <v>22</v>
      </c>
      <c r="E27" t="s">
        <v>25</v>
      </c>
      <c r="F27" t="s">
        <v>28</v>
      </c>
      <c r="G27">
        <v>39</v>
      </c>
      <c r="H27" t="str">
        <f t="shared" si="0"/>
        <v>35-44</v>
      </c>
      <c r="I27">
        <v>2</v>
      </c>
      <c r="J27">
        <v>38626</v>
      </c>
      <c r="K27">
        <v>5</v>
      </c>
      <c r="L27">
        <v>77252</v>
      </c>
      <c r="M27">
        <v>3862.6</v>
      </c>
      <c r="N27">
        <v>73389.399999999994</v>
      </c>
    </row>
    <row r="28" spans="1:16" x14ac:dyDescent="0.25">
      <c r="A28">
        <v>10027</v>
      </c>
      <c r="B28" s="4">
        <v>44953</v>
      </c>
      <c r="C28" t="s">
        <v>33</v>
      </c>
      <c r="D28" t="s">
        <v>14</v>
      </c>
      <c r="E28" t="s">
        <v>25</v>
      </c>
      <c r="F28" t="s">
        <v>24</v>
      </c>
      <c r="G28">
        <v>52</v>
      </c>
      <c r="H28" t="str">
        <f t="shared" si="0"/>
        <v>45-54</v>
      </c>
      <c r="I28">
        <v>3</v>
      </c>
      <c r="J28">
        <v>34675</v>
      </c>
      <c r="K28">
        <v>5</v>
      </c>
      <c r="L28">
        <v>104025</v>
      </c>
      <c r="M28">
        <v>5201.25</v>
      </c>
      <c r="N28">
        <v>98823.75</v>
      </c>
    </row>
    <row r="29" spans="1:16" x14ac:dyDescent="0.25">
      <c r="A29">
        <v>10028</v>
      </c>
      <c r="B29" s="4">
        <v>44954</v>
      </c>
      <c r="C29" t="s">
        <v>21</v>
      </c>
      <c r="D29" t="s">
        <v>29</v>
      </c>
      <c r="E29" t="s">
        <v>32</v>
      </c>
      <c r="F29" t="s">
        <v>20</v>
      </c>
      <c r="G29">
        <v>63</v>
      </c>
      <c r="H29" t="str">
        <f t="shared" si="0"/>
        <v>55+</v>
      </c>
      <c r="I29">
        <v>9</v>
      </c>
      <c r="J29">
        <v>39008</v>
      </c>
      <c r="K29">
        <v>5</v>
      </c>
      <c r="L29">
        <v>351072</v>
      </c>
      <c r="M29">
        <v>17553.599999999999</v>
      </c>
      <c r="N29">
        <v>333518.40000000002</v>
      </c>
    </row>
    <row r="30" spans="1:16" x14ac:dyDescent="0.25">
      <c r="A30">
        <v>10029</v>
      </c>
      <c r="B30" s="4">
        <v>44955</v>
      </c>
      <c r="C30" t="s">
        <v>13</v>
      </c>
      <c r="D30" t="s">
        <v>22</v>
      </c>
      <c r="E30" t="s">
        <v>15</v>
      </c>
      <c r="F30" t="s">
        <v>20</v>
      </c>
      <c r="G30">
        <v>60</v>
      </c>
      <c r="H30" t="str">
        <f t="shared" si="0"/>
        <v>55+</v>
      </c>
      <c r="I30">
        <v>4</v>
      </c>
      <c r="J30">
        <v>21411</v>
      </c>
      <c r="K30">
        <v>5</v>
      </c>
      <c r="L30">
        <v>85644</v>
      </c>
      <c r="M30">
        <v>4282.2</v>
      </c>
      <c r="N30">
        <v>81361.8</v>
      </c>
    </row>
    <row r="31" spans="1:16" x14ac:dyDescent="0.25">
      <c r="A31">
        <v>10030</v>
      </c>
      <c r="B31" s="4">
        <v>44956</v>
      </c>
      <c r="C31" t="s">
        <v>33</v>
      </c>
      <c r="D31" t="s">
        <v>27</v>
      </c>
      <c r="E31" t="s">
        <v>19</v>
      </c>
      <c r="F31" t="s">
        <v>30</v>
      </c>
      <c r="G31">
        <v>43</v>
      </c>
      <c r="H31" t="str">
        <f t="shared" si="0"/>
        <v>35-44</v>
      </c>
      <c r="I31">
        <v>4</v>
      </c>
      <c r="J31">
        <v>3436</v>
      </c>
      <c r="K31">
        <v>10</v>
      </c>
      <c r="L31">
        <v>13744</v>
      </c>
      <c r="M31">
        <v>1374.4</v>
      </c>
      <c r="N31">
        <v>12369.6</v>
      </c>
    </row>
    <row r="32" spans="1:16" x14ac:dyDescent="0.25">
      <c r="A32">
        <v>10031</v>
      </c>
      <c r="B32" s="4">
        <v>44957</v>
      </c>
      <c r="C32" t="s">
        <v>33</v>
      </c>
      <c r="D32" t="s">
        <v>29</v>
      </c>
      <c r="E32" t="s">
        <v>19</v>
      </c>
      <c r="F32" t="s">
        <v>31</v>
      </c>
      <c r="G32">
        <v>53</v>
      </c>
      <c r="H32" t="str">
        <f t="shared" si="0"/>
        <v>45-54</v>
      </c>
      <c r="I32">
        <v>5</v>
      </c>
      <c r="J32">
        <v>20582</v>
      </c>
      <c r="K32">
        <v>5</v>
      </c>
      <c r="L32">
        <v>102910</v>
      </c>
      <c r="M32">
        <v>5145.5</v>
      </c>
      <c r="N32">
        <v>97764.5</v>
      </c>
    </row>
    <row r="33" spans="1:14" x14ac:dyDescent="0.25">
      <c r="A33">
        <v>10032</v>
      </c>
      <c r="B33" s="4">
        <v>44958</v>
      </c>
      <c r="C33" t="s">
        <v>21</v>
      </c>
      <c r="D33" t="s">
        <v>29</v>
      </c>
      <c r="E33" t="s">
        <v>32</v>
      </c>
      <c r="F33" t="s">
        <v>20</v>
      </c>
      <c r="G33">
        <v>60</v>
      </c>
      <c r="H33" t="str">
        <f t="shared" si="0"/>
        <v>55+</v>
      </c>
      <c r="I33">
        <v>9</v>
      </c>
      <c r="J33">
        <v>18446</v>
      </c>
      <c r="K33">
        <v>10</v>
      </c>
      <c r="L33">
        <v>166014</v>
      </c>
      <c r="M33">
        <v>16601.400000000001</v>
      </c>
      <c r="N33">
        <v>149412.6</v>
      </c>
    </row>
    <row r="34" spans="1:14" x14ac:dyDescent="0.25">
      <c r="A34">
        <v>10033</v>
      </c>
      <c r="B34" s="4">
        <v>44959</v>
      </c>
      <c r="C34" t="s">
        <v>17</v>
      </c>
      <c r="D34" t="s">
        <v>22</v>
      </c>
      <c r="E34" t="s">
        <v>15</v>
      </c>
      <c r="F34" t="s">
        <v>23</v>
      </c>
      <c r="G34">
        <v>29</v>
      </c>
      <c r="H34" t="str">
        <f t="shared" si="0"/>
        <v>25-34</v>
      </c>
      <c r="I34">
        <v>3</v>
      </c>
      <c r="J34">
        <v>15563</v>
      </c>
      <c r="K34">
        <v>15</v>
      </c>
      <c r="L34">
        <v>46689</v>
      </c>
      <c r="M34">
        <v>7003.35</v>
      </c>
      <c r="N34">
        <v>39685.65</v>
      </c>
    </row>
    <row r="35" spans="1:14" x14ac:dyDescent="0.25">
      <c r="A35">
        <v>10034</v>
      </c>
      <c r="B35" s="4">
        <v>44960</v>
      </c>
      <c r="C35" t="s">
        <v>17</v>
      </c>
      <c r="D35" t="s">
        <v>14</v>
      </c>
      <c r="E35" t="s">
        <v>32</v>
      </c>
      <c r="F35" t="s">
        <v>20</v>
      </c>
      <c r="G35">
        <v>44</v>
      </c>
      <c r="H35" t="str">
        <f t="shared" si="0"/>
        <v>35-44</v>
      </c>
      <c r="I35">
        <v>9</v>
      </c>
      <c r="J35">
        <v>45683</v>
      </c>
      <c r="K35">
        <v>20</v>
      </c>
      <c r="L35">
        <v>411147</v>
      </c>
      <c r="M35">
        <v>82229.399999999994</v>
      </c>
      <c r="N35">
        <v>328917.59999999998</v>
      </c>
    </row>
    <row r="36" spans="1:14" x14ac:dyDescent="0.25">
      <c r="A36">
        <v>10035</v>
      </c>
      <c r="B36" s="4">
        <v>44961</v>
      </c>
      <c r="C36" t="s">
        <v>13</v>
      </c>
      <c r="D36" t="s">
        <v>18</v>
      </c>
      <c r="E36" t="s">
        <v>19</v>
      </c>
      <c r="F36" t="s">
        <v>28</v>
      </c>
      <c r="G36">
        <v>41</v>
      </c>
      <c r="H36" t="str">
        <f t="shared" si="0"/>
        <v>35-44</v>
      </c>
      <c r="I36">
        <v>7</v>
      </c>
      <c r="J36">
        <v>20562</v>
      </c>
      <c r="K36">
        <v>5</v>
      </c>
      <c r="L36">
        <v>143934</v>
      </c>
      <c r="M36">
        <v>7196.7</v>
      </c>
      <c r="N36">
        <v>136737.29999999999</v>
      </c>
    </row>
    <row r="37" spans="1:14" x14ac:dyDescent="0.25">
      <c r="A37">
        <v>10036</v>
      </c>
      <c r="B37" s="4">
        <v>44962</v>
      </c>
      <c r="C37" t="s">
        <v>13</v>
      </c>
      <c r="D37" t="s">
        <v>14</v>
      </c>
      <c r="E37" t="s">
        <v>15</v>
      </c>
      <c r="F37" t="s">
        <v>31</v>
      </c>
      <c r="G37">
        <v>28</v>
      </c>
      <c r="H37" t="str">
        <f t="shared" si="0"/>
        <v>25-34</v>
      </c>
      <c r="I37">
        <v>5</v>
      </c>
      <c r="J37">
        <v>36733</v>
      </c>
      <c r="K37">
        <v>20</v>
      </c>
      <c r="L37">
        <v>183665</v>
      </c>
      <c r="M37">
        <v>36733</v>
      </c>
      <c r="N37">
        <v>146932</v>
      </c>
    </row>
    <row r="38" spans="1:14" x14ac:dyDescent="0.25">
      <c r="A38">
        <v>10037</v>
      </c>
      <c r="B38" s="4">
        <v>44963</v>
      </c>
      <c r="C38" t="s">
        <v>17</v>
      </c>
      <c r="D38" t="s">
        <v>22</v>
      </c>
      <c r="E38" t="s">
        <v>15</v>
      </c>
      <c r="F38" t="s">
        <v>20</v>
      </c>
      <c r="G38">
        <v>20</v>
      </c>
      <c r="H38" t="str">
        <f t="shared" si="0"/>
        <v>18-24</v>
      </c>
      <c r="I38">
        <v>5</v>
      </c>
      <c r="J38">
        <v>17279</v>
      </c>
      <c r="K38">
        <v>20</v>
      </c>
      <c r="L38">
        <v>86395</v>
      </c>
      <c r="M38">
        <v>17279</v>
      </c>
      <c r="N38">
        <v>69116</v>
      </c>
    </row>
    <row r="39" spans="1:14" x14ac:dyDescent="0.25">
      <c r="A39">
        <v>10038</v>
      </c>
      <c r="B39" s="4">
        <v>44964</v>
      </c>
      <c r="C39" t="s">
        <v>33</v>
      </c>
      <c r="D39" t="s">
        <v>22</v>
      </c>
      <c r="E39" t="s">
        <v>32</v>
      </c>
      <c r="F39" t="s">
        <v>23</v>
      </c>
      <c r="G39">
        <v>31</v>
      </c>
      <c r="H39" t="str">
        <f t="shared" si="0"/>
        <v>25-34</v>
      </c>
      <c r="I39">
        <v>2</v>
      </c>
      <c r="J39">
        <v>23440</v>
      </c>
      <c r="K39">
        <v>5</v>
      </c>
      <c r="L39">
        <v>46880</v>
      </c>
      <c r="M39">
        <v>2344</v>
      </c>
      <c r="N39">
        <v>44536</v>
      </c>
    </row>
    <row r="40" spans="1:14" x14ac:dyDescent="0.25">
      <c r="A40">
        <v>10039</v>
      </c>
      <c r="B40" s="4">
        <v>44965</v>
      </c>
      <c r="C40" t="s">
        <v>21</v>
      </c>
      <c r="D40" t="s">
        <v>29</v>
      </c>
      <c r="E40" t="s">
        <v>25</v>
      </c>
      <c r="F40" t="s">
        <v>23</v>
      </c>
      <c r="G40">
        <v>54</v>
      </c>
      <c r="H40" t="str">
        <f t="shared" si="0"/>
        <v>45-54</v>
      </c>
      <c r="I40">
        <v>4</v>
      </c>
      <c r="J40">
        <v>23070</v>
      </c>
      <c r="K40">
        <v>10</v>
      </c>
      <c r="L40">
        <v>92280</v>
      </c>
      <c r="M40">
        <v>9228</v>
      </c>
      <c r="N40">
        <v>83052</v>
      </c>
    </row>
    <row r="41" spans="1:14" x14ac:dyDescent="0.25">
      <c r="A41">
        <v>10040</v>
      </c>
      <c r="B41" s="4">
        <v>44966</v>
      </c>
      <c r="C41" t="s">
        <v>33</v>
      </c>
      <c r="D41" t="s">
        <v>18</v>
      </c>
      <c r="E41" t="s">
        <v>19</v>
      </c>
      <c r="F41" t="s">
        <v>30</v>
      </c>
      <c r="G41">
        <v>49</v>
      </c>
      <c r="H41" t="str">
        <f t="shared" si="0"/>
        <v>45-54</v>
      </c>
      <c r="I41">
        <v>7</v>
      </c>
      <c r="J41">
        <v>7475</v>
      </c>
      <c r="K41">
        <v>5</v>
      </c>
      <c r="L41">
        <v>52325</v>
      </c>
      <c r="M41">
        <v>2616.25</v>
      </c>
      <c r="N41">
        <v>49708.75</v>
      </c>
    </row>
    <row r="42" spans="1:14" x14ac:dyDescent="0.25">
      <c r="A42">
        <v>10041</v>
      </c>
      <c r="B42" s="4">
        <v>44967</v>
      </c>
      <c r="C42" t="s">
        <v>13</v>
      </c>
      <c r="D42" t="s">
        <v>18</v>
      </c>
      <c r="E42" t="s">
        <v>19</v>
      </c>
      <c r="F42" t="s">
        <v>26</v>
      </c>
      <c r="G42">
        <v>23</v>
      </c>
      <c r="H42" t="str">
        <f t="shared" si="0"/>
        <v>18-24</v>
      </c>
      <c r="I42">
        <v>5</v>
      </c>
      <c r="J42">
        <v>41832</v>
      </c>
      <c r="K42">
        <v>20</v>
      </c>
      <c r="L42">
        <v>209160</v>
      </c>
      <c r="M42">
        <v>41832</v>
      </c>
      <c r="N42">
        <v>167328</v>
      </c>
    </row>
    <row r="43" spans="1:14" x14ac:dyDescent="0.25">
      <c r="A43">
        <v>10042</v>
      </c>
      <c r="B43" s="4">
        <v>44968</v>
      </c>
      <c r="C43" t="s">
        <v>13</v>
      </c>
      <c r="D43" t="s">
        <v>27</v>
      </c>
      <c r="E43" t="s">
        <v>15</v>
      </c>
      <c r="F43" t="s">
        <v>26</v>
      </c>
      <c r="G43">
        <v>52</v>
      </c>
      <c r="H43" t="str">
        <f t="shared" si="0"/>
        <v>45-54</v>
      </c>
      <c r="I43">
        <v>3</v>
      </c>
      <c r="J43">
        <v>35055</v>
      </c>
      <c r="K43">
        <v>15</v>
      </c>
      <c r="L43">
        <v>105165</v>
      </c>
      <c r="M43">
        <v>15774.75</v>
      </c>
      <c r="N43">
        <v>89390.25</v>
      </c>
    </row>
    <row r="44" spans="1:14" x14ac:dyDescent="0.25">
      <c r="A44">
        <v>10043</v>
      </c>
      <c r="B44" s="4">
        <v>44969</v>
      </c>
      <c r="C44" t="s">
        <v>13</v>
      </c>
      <c r="D44" t="s">
        <v>27</v>
      </c>
      <c r="E44" t="s">
        <v>25</v>
      </c>
      <c r="F44" t="s">
        <v>26</v>
      </c>
      <c r="G44">
        <v>62</v>
      </c>
      <c r="H44" t="str">
        <f t="shared" si="0"/>
        <v>55+</v>
      </c>
      <c r="I44">
        <v>3</v>
      </c>
      <c r="J44">
        <v>24914</v>
      </c>
      <c r="K44">
        <v>5</v>
      </c>
      <c r="L44">
        <v>74742</v>
      </c>
      <c r="M44">
        <v>3737.1</v>
      </c>
      <c r="N44">
        <v>71004.899999999994</v>
      </c>
    </row>
    <row r="45" spans="1:14" x14ac:dyDescent="0.25">
      <c r="A45">
        <v>10044</v>
      </c>
      <c r="B45" s="4">
        <v>44970</v>
      </c>
      <c r="C45" t="s">
        <v>17</v>
      </c>
      <c r="D45" t="s">
        <v>27</v>
      </c>
      <c r="E45" t="s">
        <v>19</v>
      </c>
      <c r="F45" t="s">
        <v>28</v>
      </c>
      <c r="G45">
        <v>50</v>
      </c>
      <c r="H45" t="str">
        <f t="shared" si="0"/>
        <v>45-54</v>
      </c>
      <c r="I45">
        <v>4</v>
      </c>
      <c r="J45">
        <v>29320</v>
      </c>
      <c r="K45">
        <v>15</v>
      </c>
      <c r="L45">
        <v>117280</v>
      </c>
      <c r="M45">
        <v>17592</v>
      </c>
      <c r="N45">
        <v>99688</v>
      </c>
    </row>
    <row r="46" spans="1:14" x14ac:dyDescent="0.25">
      <c r="A46">
        <v>10045</v>
      </c>
      <c r="B46" s="4">
        <v>44971</v>
      </c>
      <c r="C46" t="s">
        <v>17</v>
      </c>
      <c r="D46" t="s">
        <v>27</v>
      </c>
      <c r="E46" t="s">
        <v>25</v>
      </c>
      <c r="F46" t="s">
        <v>30</v>
      </c>
      <c r="G46">
        <v>36</v>
      </c>
      <c r="H46" t="str">
        <f t="shared" si="0"/>
        <v>35-44</v>
      </c>
      <c r="I46">
        <v>1</v>
      </c>
      <c r="J46">
        <v>39161</v>
      </c>
      <c r="K46">
        <v>5</v>
      </c>
      <c r="L46">
        <v>39161</v>
      </c>
      <c r="M46">
        <v>1958.05</v>
      </c>
      <c r="N46">
        <v>37202.949999999997</v>
      </c>
    </row>
    <row r="47" spans="1:14" x14ac:dyDescent="0.25">
      <c r="A47">
        <v>10046</v>
      </c>
      <c r="B47" s="4">
        <v>44972</v>
      </c>
      <c r="C47" t="s">
        <v>13</v>
      </c>
      <c r="D47" t="s">
        <v>29</v>
      </c>
      <c r="E47" t="s">
        <v>25</v>
      </c>
      <c r="F47" t="s">
        <v>28</v>
      </c>
      <c r="G47">
        <v>45</v>
      </c>
      <c r="H47" t="str">
        <f t="shared" si="0"/>
        <v>45-54</v>
      </c>
      <c r="I47">
        <v>9</v>
      </c>
      <c r="J47">
        <v>44378</v>
      </c>
      <c r="K47">
        <v>5</v>
      </c>
      <c r="L47">
        <v>399402</v>
      </c>
      <c r="M47">
        <v>19970.099999999999</v>
      </c>
      <c r="N47">
        <v>379431.9</v>
      </c>
    </row>
    <row r="48" spans="1:14" x14ac:dyDescent="0.25">
      <c r="A48">
        <v>10047</v>
      </c>
      <c r="B48" s="4">
        <v>44973</v>
      </c>
      <c r="C48" t="s">
        <v>33</v>
      </c>
      <c r="D48" t="s">
        <v>18</v>
      </c>
      <c r="E48" t="s">
        <v>15</v>
      </c>
      <c r="F48" t="s">
        <v>24</v>
      </c>
      <c r="G48">
        <v>45</v>
      </c>
      <c r="H48" t="str">
        <f t="shared" si="0"/>
        <v>45-54</v>
      </c>
      <c r="I48">
        <v>9</v>
      </c>
      <c r="J48">
        <v>21568</v>
      </c>
      <c r="K48">
        <v>5</v>
      </c>
      <c r="L48">
        <v>194112</v>
      </c>
      <c r="M48">
        <v>9705.6</v>
      </c>
      <c r="N48">
        <v>184406.39999999999</v>
      </c>
    </row>
    <row r="49" spans="1:14" x14ac:dyDescent="0.25">
      <c r="A49">
        <v>10048</v>
      </c>
      <c r="B49" s="4">
        <v>44974</v>
      </c>
      <c r="C49" t="s">
        <v>13</v>
      </c>
      <c r="D49" t="s">
        <v>22</v>
      </c>
      <c r="E49" t="s">
        <v>19</v>
      </c>
      <c r="F49" t="s">
        <v>20</v>
      </c>
      <c r="G49">
        <v>27</v>
      </c>
      <c r="H49" t="str">
        <f t="shared" si="0"/>
        <v>25-34</v>
      </c>
      <c r="I49">
        <v>7</v>
      </c>
      <c r="J49">
        <v>32365</v>
      </c>
      <c r="K49">
        <v>10</v>
      </c>
      <c r="L49">
        <v>226555</v>
      </c>
      <c r="M49">
        <v>22655.5</v>
      </c>
      <c r="N49">
        <v>203899.5</v>
      </c>
    </row>
    <row r="50" spans="1:14" x14ac:dyDescent="0.25">
      <c r="A50">
        <v>10049</v>
      </c>
      <c r="B50" s="4">
        <v>44975</v>
      </c>
      <c r="C50" t="s">
        <v>13</v>
      </c>
      <c r="D50" t="s">
        <v>29</v>
      </c>
      <c r="E50" t="s">
        <v>15</v>
      </c>
      <c r="F50" t="s">
        <v>26</v>
      </c>
      <c r="G50">
        <v>58</v>
      </c>
      <c r="H50" t="str">
        <f t="shared" si="0"/>
        <v>55+</v>
      </c>
      <c r="I50">
        <v>4</v>
      </c>
      <c r="J50">
        <v>23631</v>
      </c>
      <c r="K50">
        <v>5</v>
      </c>
      <c r="L50">
        <v>94524</v>
      </c>
      <c r="M50">
        <v>4726.2</v>
      </c>
      <c r="N50">
        <v>89797.8</v>
      </c>
    </row>
    <row r="51" spans="1:14" x14ac:dyDescent="0.25">
      <c r="A51">
        <v>10050</v>
      </c>
      <c r="B51" s="4">
        <v>44976</v>
      </c>
      <c r="C51" t="s">
        <v>21</v>
      </c>
      <c r="D51" t="s">
        <v>22</v>
      </c>
      <c r="E51" t="s">
        <v>25</v>
      </c>
      <c r="F51" t="s">
        <v>30</v>
      </c>
      <c r="G51">
        <v>35</v>
      </c>
      <c r="H51" t="str">
        <f t="shared" si="0"/>
        <v>35-44</v>
      </c>
      <c r="I51">
        <v>1</v>
      </c>
      <c r="J51">
        <v>37845</v>
      </c>
      <c r="K51">
        <v>20</v>
      </c>
      <c r="L51">
        <v>37845</v>
      </c>
      <c r="M51">
        <v>7569</v>
      </c>
      <c r="N51">
        <v>30276</v>
      </c>
    </row>
    <row r="52" spans="1:14" x14ac:dyDescent="0.25">
      <c r="A52">
        <v>10051</v>
      </c>
      <c r="B52" s="4">
        <v>44977</v>
      </c>
      <c r="C52" t="s">
        <v>21</v>
      </c>
      <c r="D52" t="s">
        <v>22</v>
      </c>
      <c r="E52" t="s">
        <v>32</v>
      </c>
      <c r="F52" t="s">
        <v>16</v>
      </c>
      <c r="G52">
        <v>30</v>
      </c>
      <c r="H52" t="str">
        <f t="shared" si="0"/>
        <v>25-34</v>
      </c>
      <c r="I52">
        <v>6</v>
      </c>
      <c r="J52">
        <v>43710</v>
      </c>
      <c r="K52">
        <v>0</v>
      </c>
      <c r="L52">
        <v>262260</v>
      </c>
      <c r="M52">
        <v>0</v>
      </c>
      <c r="N52">
        <v>262260</v>
      </c>
    </row>
    <row r="53" spans="1:14" x14ac:dyDescent="0.25">
      <c r="A53">
        <v>10052</v>
      </c>
      <c r="B53" s="4">
        <v>44978</v>
      </c>
      <c r="C53" t="s">
        <v>13</v>
      </c>
      <c r="D53" t="s">
        <v>18</v>
      </c>
      <c r="E53" t="s">
        <v>19</v>
      </c>
      <c r="F53" t="s">
        <v>31</v>
      </c>
      <c r="G53">
        <v>59</v>
      </c>
      <c r="H53" t="str">
        <f t="shared" si="0"/>
        <v>55+</v>
      </c>
      <c r="I53">
        <v>8</v>
      </c>
      <c r="J53">
        <v>33657</v>
      </c>
      <c r="K53">
        <v>20</v>
      </c>
      <c r="L53">
        <v>269256</v>
      </c>
      <c r="M53">
        <v>53851.199999999997</v>
      </c>
      <c r="N53">
        <v>215404.79999999999</v>
      </c>
    </row>
    <row r="54" spans="1:14" x14ac:dyDescent="0.25">
      <c r="A54">
        <v>10053</v>
      </c>
      <c r="B54" s="4">
        <v>44979</v>
      </c>
      <c r="C54" t="s">
        <v>21</v>
      </c>
      <c r="D54" t="s">
        <v>22</v>
      </c>
      <c r="E54" t="s">
        <v>15</v>
      </c>
      <c r="F54" t="s">
        <v>28</v>
      </c>
      <c r="G54">
        <v>24</v>
      </c>
      <c r="H54" t="str">
        <f t="shared" si="0"/>
        <v>18-24</v>
      </c>
      <c r="I54">
        <v>6</v>
      </c>
      <c r="J54">
        <v>44144</v>
      </c>
      <c r="K54">
        <v>20</v>
      </c>
      <c r="L54">
        <v>264864</v>
      </c>
      <c r="M54">
        <v>52972.800000000003</v>
      </c>
      <c r="N54">
        <v>211891.20000000001</v>
      </c>
    </row>
    <row r="55" spans="1:14" x14ac:dyDescent="0.25">
      <c r="A55">
        <v>10054</v>
      </c>
      <c r="B55" s="4">
        <v>44980</v>
      </c>
      <c r="C55" t="s">
        <v>21</v>
      </c>
      <c r="D55" t="s">
        <v>29</v>
      </c>
      <c r="E55" t="s">
        <v>32</v>
      </c>
      <c r="F55" t="s">
        <v>20</v>
      </c>
      <c r="G55">
        <v>20</v>
      </c>
      <c r="H55" t="str">
        <f t="shared" si="0"/>
        <v>18-24</v>
      </c>
      <c r="I55">
        <v>9</v>
      </c>
      <c r="J55">
        <v>1120</v>
      </c>
      <c r="K55">
        <v>10</v>
      </c>
      <c r="L55">
        <v>10080</v>
      </c>
      <c r="M55">
        <v>1008</v>
      </c>
      <c r="N55">
        <v>9072</v>
      </c>
    </row>
    <row r="56" spans="1:14" x14ac:dyDescent="0.25">
      <c r="A56">
        <v>10055</v>
      </c>
      <c r="B56" s="4">
        <v>44981</v>
      </c>
      <c r="C56" t="s">
        <v>13</v>
      </c>
      <c r="D56" t="s">
        <v>14</v>
      </c>
      <c r="E56" t="s">
        <v>25</v>
      </c>
      <c r="F56" t="s">
        <v>24</v>
      </c>
      <c r="G56">
        <v>52</v>
      </c>
      <c r="H56" t="str">
        <f t="shared" si="0"/>
        <v>45-54</v>
      </c>
      <c r="I56">
        <v>5</v>
      </c>
      <c r="J56">
        <v>44689</v>
      </c>
      <c r="K56">
        <v>20</v>
      </c>
      <c r="L56">
        <v>223445</v>
      </c>
      <c r="M56">
        <v>44689</v>
      </c>
      <c r="N56">
        <v>178756</v>
      </c>
    </row>
    <row r="57" spans="1:14" x14ac:dyDescent="0.25">
      <c r="A57">
        <v>10056</v>
      </c>
      <c r="B57" s="4">
        <v>44982</v>
      </c>
      <c r="C57" t="s">
        <v>17</v>
      </c>
      <c r="D57" t="s">
        <v>18</v>
      </c>
      <c r="E57" t="s">
        <v>15</v>
      </c>
      <c r="F57" t="s">
        <v>20</v>
      </c>
      <c r="G57">
        <v>34</v>
      </c>
      <c r="H57" t="str">
        <f t="shared" si="0"/>
        <v>25-34</v>
      </c>
      <c r="I57">
        <v>2</v>
      </c>
      <c r="J57">
        <v>20165</v>
      </c>
      <c r="K57">
        <v>5</v>
      </c>
      <c r="L57">
        <v>40330</v>
      </c>
      <c r="M57">
        <v>2016.5</v>
      </c>
      <c r="N57">
        <v>38313.5</v>
      </c>
    </row>
    <row r="58" spans="1:14" x14ac:dyDescent="0.25">
      <c r="A58">
        <v>10057</v>
      </c>
      <c r="B58" s="4">
        <v>44983</v>
      </c>
      <c r="C58" t="s">
        <v>17</v>
      </c>
      <c r="D58" t="s">
        <v>14</v>
      </c>
      <c r="E58" t="s">
        <v>32</v>
      </c>
      <c r="F58" t="s">
        <v>23</v>
      </c>
      <c r="G58">
        <v>20</v>
      </c>
      <c r="H58" t="str">
        <f t="shared" si="0"/>
        <v>18-24</v>
      </c>
      <c r="I58">
        <v>7</v>
      </c>
      <c r="J58">
        <v>30808</v>
      </c>
      <c r="K58">
        <v>0</v>
      </c>
      <c r="L58">
        <v>215656</v>
      </c>
      <c r="M58">
        <v>0</v>
      </c>
      <c r="N58">
        <v>215656</v>
      </c>
    </row>
    <row r="59" spans="1:14" x14ac:dyDescent="0.25">
      <c r="A59">
        <v>10058</v>
      </c>
      <c r="B59" s="4">
        <v>44984</v>
      </c>
      <c r="C59" t="s">
        <v>33</v>
      </c>
      <c r="D59" t="s">
        <v>18</v>
      </c>
      <c r="E59" t="s">
        <v>19</v>
      </c>
      <c r="F59" t="s">
        <v>23</v>
      </c>
      <c r="G59">
        <v>41</v>
      </c>
      <c r="H59" t="str">
        <f t="shared" si="0"/>
        <v>35-44</v>
      </c>
      <c r="I59">
        <v>2</v>
      </c>
      <c r="J59">
        <v>44368</v>
      </c>
      <c r="K59">
        <v>0</v>
      </c>
      <c r="L59">
        <v>88736</v>
      </c>
      <c r="M59">
        <v>0</v>
      </c>
      <c r="N59">
        <v>88736</v>
      </c>
    </row>
    <row r="60" spans="1:14" x14ac:dyDescent="0.25">
      <c r="A60">
        <v>10059</v>
      </c>
      <c r="B60" s="4">
        <v>44985</v>
      </c>
      <c r="C60" t="s">
        <v>13</v>
      </c>
      <c r="D60" t="s">
        <v>22</v>
      </c>
      <c r="E60" t="s">
        <v>19</v>
      </c>
      <c r="F60" t="s">
        <v>30</v>
      </c>
      <c r="G60">
        <v>64</v>
      </c>
      <c r="H60" t="str">
        <f t="shared" si="0"/>
        <v>55+</v>
      </c>
      <c r="I60">
        <v>5</v>
      </c>
      <c r="J60">
        <v>5081</v>
      </c>
      <c r="K60">
        <v>5</v>
      </c>
      <c r="L60">
        <v>25405</v>
      </c>
      <c r="M60">
        <v>1270.25</v>
      </c>
      <c r="N60">
        <v>24134.75</v>
      </c>
    </row>
    <row r="61" spans="1:14" x14ac:dyDescent="0.25">
      <c r="A61">
        <v>10060</v>
      </c>
      <c r="B61" s="4">
        <v>44986</v>
      </c>
      <c r="C61" t="s">
        <v>21</v>
      </c>
      <c r="D61" t="s">
        <v>27</v>
      </c>
      <c r="E61" t="s">
        <v>32</v>
      </c>
      <c r="F61" t="s">
        <v>23</v>
      </c>
      <c r="G61">
        <v>25</v>
      </c>
      <c r="H61" t="str">
        <f t="shared" si="0"/>
        <v>25-34</v>
      </c>
      <c r="I61">
        <v>1</v>
      </c>
      <c r="J61">
        <v>12672</v>
      </c>
      <c r="K61">
        <v>5</v>
      </c>
      <c r="L61">
        <v>12672</v>
      </c>
      <c r="M61">
        <v>633.6</v>
      </c>
      <c r="N61">
        <v>12038.4</v>
      </c>
    </row>
    <row r="62" spans="1:14" x14ac:dyDescent="0.25">
      <c r="A62">
        <v>10061</v>
      </c>
      <c r="B62" s="4">
        <v>44987</v>
      </c>
      <c r="C62" t="s">
        <v>33</v>
      </c>
      <c r="D62" t="s">
        <v>14</v>
      </c>
      <c r="E62" t="s">
        <v>19</v>
      </c>
      <c r="F62" t="s">
        <v>23</v>
      </c>
      <c r="G62">
        <v>63</v>
      </c>
      <c r="H62" t="str">
        <f t="shared" si="0"/>
        <v>55+</v>
      </c>
      <c r="I62">
        <v>6</v>
      </c>
      <c r="J62">
        <v>42598</v>
      </c>
      <c r="K62">
        <v>0</v>
      </c>
      <c r="L62">
        <v>255588</v>
      </c>
      <c r="M62">
        <v>0</v>
      </c>
      <c r="N62">
        <v>255588</v>
      </c>
    </row>
    <row r="63" spans="1:14" x14ac:dyDescent="0.25">
      <c r="A63">
        <v>10062</v>
      </c>
      <c r="B63" s="4">
        <v>44988</v>
      </c>
      <c r="C63" t="s">
        <v>17</v>
      </c>
      <c r="D63" t="s">
        <v>27</v>
      </c>
      <c r="E63" t="s">
        <v>25</v>
      </c>
      <c r="F63" t="s">
        <v>23</v>
      </c>
      <c r="G63">
        <v>32</v>
      </c>
      <c r="H63" t="str">
        <f t="shared" si="0"/>
        <v>25-34</v>
      </c>
      <c r="I63">
        <v>7</v>
      </c>
      <c r="J63">
        <v>35114</v>
      </c>
      <c r="K63">
        <v>5</v>
      </c>
      <c r="L63">
        <v>245798</v>
      </c>
      <c r="M63">
        <v>12289.9</v>
      </c>
      <c r="N63">
        <v>233508.1</v>
      </c>
    </row>
    <row r="64" spans="1:14" x14ac:dyDescent="0.25">
      <c r="A64">
        <v>10063</v>
      </c>
      <c r="B64" s="4">
        <v>44989</v>
      </c>
      <c r="C64" t="s">
        <v>17</v>
      </c>
      <c r="D64" t="s">
        <v>18</v>
      </c>
      <c r="E64" t="s">
        <v>15</v>
      </c>
      <c r="F64" t="s">
        <v>23</v>
      </c>
      <c r="G64">
        <v>54</v>
      </c>
      <c r="H64" t="str">
        <f t="shared" si="0"/>
        <v>45-54</v>
      </c>
      <c r="I64">
        <v>8</v>
      </c>
      <c r="J64">
        <v>15382</v>
      </c>
      <c r="K64">
        <v>10</v>
      </c>
      <c r="L64">
        <v>123056</v>
      </c>
      <c r="M64">
        <v>12305.6</v>
      </c>
      <c r="N64">
        <v>110750.39999999999</v>
      </c>
    </row>
    <row r="65" spans="1:14" x14ac:dyDescent="0.25">
      <c r="A65">
        <v>10064</v>
      </c>
      <c r="B65" s="4">
        <v>44990</v>
      </c>
      <c r="C65" t="s">
        <v>33</v>
      </c>
      <c r="D65" t="s">
        <v>18</v>
      </c>
      <c r="E65" t="s">
        <v>32</v>
      </c>
      <c r="F65" t="s">
        <v>20</v>
      </c>
      <c r="G65">
        <v>44</v>
      </c>
      <c r="H65" t="str">
        <f t="shared" si="0"/>
        <v>35-44</v>
      </c>
      <c r="I65">
        <v>8</v>
      </c>
      <c r="J65">
        <v>18550</v>
      </c>
      <c r="K65">
        <v>20</v>
      </c>
      <c r="L65">
        <v>148400</v>
      </c>
      <c r="M65">
        <v>29680</v>
      </c>
      <c r="N65">
        <v>118720</v>
      </c>
    </row>
    <row r="66" spans="1:14" x14ac:dyDescent="0.25">
      <c r="A66">
        <v>10065</v>
      </c>
      <c r="B66" s="4">
        <v>44991</v>
      </c>
      <c r="C66" t="s">
        <v>13</v>
      </c>
      <c r="D66" t="s">
        <v>22</v>
      </c>
      <c r="E66" t="s">
        <v>25</v>
      </c>
      <c r="F66" t="s">
        <v>16</v>
      </c>
      <c r="G66">
        <v>60</v>
      </c>
      <c r="H66" t="str">
        <f t="shared" si="0"/>
        <v>55+</v>
      </c>
      <c r="I66">
        <v>5</v>
      </c>
      <c r="J66">
        <v>44374</v>
      </c>
      <c r="K66">
        <v>20</v>
      </c>
      <c r="L66">
        <v>221870</v>
      </c>
      <c r="M66">
        <v>44374</v>
      </c>
      <c r="N66">
        <v>177496</v>
      </c>
    </row>
    <row r="67" spans="1:14" x14ac:dyDescent="0.25">
      <c r="A67">
        <v>10066</v>
      </c>
      <c r="B67" s="4">
        <v>44992</v>
      </c>
      <c r="C67" t="s">
        <v>13</v>
      </c>
      <c r="D67" t="s">
        <v>14</v>
      </c>
      <c r="E67" t="s">
        <v>32</v>
      </c>
      <c r="F67" t="s">
        <v>20</v>
      </c>
      <c r="G67">
        <v>57</v>
      </c>
      <c r="H67" t="str">
        <f t="shared" ref="H67:H130" si="1">IF(G67&lt;25,"18-24",IF(G67&lt;35,"25-34",IF(G67&lt;45,"35-44",IF(G67&lt;55,"45-54","55+"))))</f>
        <v>55+</v>
      </c>
      <c r="I67">
        <v>4</v>
      </c>
      <c r="J67">
        <v>20160</v>
      </c>
      <c r="K67">
        <v>20</v>
      </c>
      <c r="L67">
        <v>80640</v>
      </c>
      <c r="M67">
        <v>16128</v>
      </c>
      <c r="N67">
        <v>64512</v>
      </c>
    </row>
    <row r="68" spans="1:14" x14ac:dyDescent="0.25">
      <c r="A68">
        <v>10067</v>
      </c>
      <c r="B68" s="4">
        <v>44993</v>
      </c>
      <c r="C68" t="s">
        <v>13</v>
      </c>
      <c r="D68" t="s">
        <v>22</v>
      </c>
      <c r="E68" t="s">
        <v>15</v>
      </c>
      <c r="F68" t="s">
        <v>20</v>
      </c>
      <c r="G68">
        <v>44</v>
      </c>
      <c r="H68" t="str">
        <f t="shared" si="1"/>
        <v>35-44</v>
      </c>
      <c r="I68">
        <v>7</v>
      </c>
      <c r="J68">
        <v>23094</v>
      </c>
      <c r="K68">
        <v>5</v>
      </c>
      <c r="L68">
        <v>161658</v>
      </c>
      <c r="M68">
        <v>8082.9</v>
      </c>
      <c r="N68">
        <v>153575.1</v>
      </c>
    </row>
    <row r="69" spans="1:14" x14ac:dyDescent="0.25">
      <c r="A69">
        <v>10068</v>
      </c>
      <c r="B69" s="4">
        <v>44994</v>
      </c>
      <c r="C69" t="s">
        <v>17</v>
      </c>
      <c r="D69" t="s">
        <v>18</v>
      </c>
      <c r="E69" t="s">
        <v>32</v>
      </c>
      <c r="F69" t="s">
        <v>16</v>
      </c>
      <c r="G69">
        <v>63</v>
      </c>
      <c r="H69" t="str">
        <f t="shared" si="1"/>
        <v>55+</v>
      </c>
      <c r="I69">
        <v>4</v>
      </c>
      <c r="J69">
        <v>49069</v>
      </c>
      <c r="K69">
        <v>5</v>
      </c>
      <c r="L69">
        <v>196276</v>
      </c>
      <c r="M69">
        <v>9813.7999999999993</v>
      </c>
      <c r="N69">
        <v>186462.2</v>
      </c>
    </row>
    <row r="70" spans="1:14" x14ac:dyDescent="0.25">
      <c r="A70">
        <v>10069</v>
      </c>
      <c r="B70" s="4">
        <v>44995</v>
      </c>
      <c r="C70" t="s">
        <v>21</v>
      </c>
      <c r="D70" t="s">
        <v>22</v>
      </c>
      <c r="E70" t="s">
        <v>25</v>
      </c>
      <c r="F70" t="s">
        <v>16</v>
      </c>
      <c r="G70">
        <v>36</v>
      </c>
      <c r="H70" t="str">
        <f t="shared" si="1"/>
        <v>35-44</v>
      </c>
      <c r="I70">
        <v>7</v>
      </c>
      <c r="J70">
        <v>13340</v>
      </c>
      <c r="K70">
        <v>10</v>
      </c>
      <c r="L70">
        <v>93380</v>
      </c>
      <c r="M70">
        <v>9338</v>
      </c>
      <c r="N70">
        <v>84042</v>
      </c>
    </row>
    <row r="71" spans="1:14" x14ac:dyDescent="0.25">
      <c r="A71">
        <v>10070</v>
      </c>
      <c r="B71" s="4">
        <v>44996</v>
      </c>
      <c r="C71" t="s">
        <v>21</v>
      </c>
      <c r="D71" t="s">
        <v>29</v>
      </c>
      <c r="E71" t="s">
        <v>32</v>
      </c>
      <c r="F71" t="s">
        <v>31</v>
      </c>
      <c r="G71">
        <v>38</v>
      </c>
      <c r="H71" t="str">
        <f t="shared" si="1"/>
        <v>35-44</v>
      </c>
      <c r="I71">
        <v>8</v>
      </c>
      <c r="J71">
        <v>44965</v>
      </c>
      <c r="K71">
        <v>5</v>
      </c>
      <c r="L71">
        <v>359720</v>
      </c>
      <c r="M71">
        <v>17986</v>
      </c>
      <c r="N71">
        <v>341734</v>
      </c>
    </row>
    <row r="72" spans="1:14" x14ac:dyDescent="0.25">
      <c r="A72">
        <v>10071</v>
      </c>
      <c r="B72" s="4">
        <v>44997</v>
      </c>
      <c r="C72" t="s">
        <v>13</v>
      </c>
      <c r="D72" t="s">
        <v>14</v>
      </c>
      <c r="E72" t="s">
        <v>19</v>
      </c>
      <c r="F72" t="s">
        <v>24</v>
      </c>
      <c r="G72">
        <v>53</v>
      </c>
      <c r="H72" t="str">
        <f t="shared" si="1"/>
        <v>45-54</v>
      </c>
      <c r="I72">
        <v>6</v>
      </c>
      <c r="J72">
        <v>49128</v>
      </c>
      <c r="K72">
        <v>5</v>
      </c>
      <c r="L72">
        <v>294768</v>
      </c>
      <c r="M72">
        <v>14738.4</v>
      </c>
      <c r="N72">
        <v>280029.59999999998</v>
      </c>
    </row>
    <row r="73" spans="1:14" x14ac:dyDescent="0.25">
      <c r="A73">
        <v>10072</v>
      </c>
      <c r="B73" s="4">
        <v>44998</v>
      </c>
      <c r="C73" t="s">
        <v>17</v>
      </c>
      <c r="D73" t="s">
        <v>27</v>
      </c>
      <c r="E73" t="s">
        <v>32</v>
      </c>
      <c r="F73" t="s">
        <v>20</v>
      </c>
      <c r="G73">
        <v>31</v>
      </c>
      <c r="H73" t="str">
        <f t="shared" si="1"/>
        <v>25-34</v>
      </c>
      <c r="I73">
        <v>1</v>
      </c>
      <c r="J73">
        <v>37002</v>
      </c>
      <c r="K73">
        <v>20</v>
      </c>
      <c r="L73">
        <v>37002</v>
      </c>
      <c r="M73">
        <v>7400.4</v>
      </c>
      <c r="N73">
        <v>29601.599999999999</v>
      </c>
    </row>
    <row r="74" spans="1:14" x14ac:dyDescent="0.25">
      <c r="A74">
        <v>10073</v>
      </c>
      <c r="B74" s="4">
        <v>44999</v>
      </c>
      <c r="C74" t="s">
        <v>21</v>
      </c>
      <c r="D74" t="s">
        <v>22</v>
      </c>
      <c r="E74" t="s">
        <v>25</v>
      </c>
      <c r="F74" t="s">
        <v>20</v>
      </c>
      <c r="G74">
        <v>27</v>
      </c>
      <c r="H74" t="str">
        <f t="shared" si="1"/>
        <v>25-34</v>
      </c>
      <c r="I74">
        <v>7</v>
      </c>
      <c r="J74">
        <v>24883</v>
      </c>
      <c r="K74">
        <v>5</v>
      </c>
      <c r="L74">
        <v>174181</v>
      </c>
      <c r="M74">
        <v>8709.0499999999993</v>
      </c>
      <c r="N74">
        <v>165471.95000000001</v>
      </c>
    </row>
    <row r="75" spans="1:14" x14ac:dyDescent="0.25">
      <c r="A75">
        <v>10074</v>
      </c>
      <c r="B75" s="4">
        <v>45000</v>
      </c>
      <c r="C75" t="s">
        <v>33</v>
      </c>
      <c r="D75" t="s">
        <v>22</v>
      </c>
      <c r="E75" t="s">
        <v>15</v>
      </c>
      <c r="F75" t="s">
        <v>24</v>
      </c>
      <c r="G75">
        <v>59</v>
      </c>
      <c r="H75" t="str">
        <f t="shared" si="1"/>
        <v>55+</v>
      </c>
      <c r="I75">
        <v>4</v>
      </c>
      <c r="J75">
        <v>43695</v>
      </c>
      <c r="K75">
        <v>15</v>
      </c>
      <c r="L75">
        <v>174780</v>
      </c>
      <c r="M75">
        <v>26217</v>
      </c>
      <c r="N75">
        <v>148563</v>
      </c>
    </row>
    <row r="76" spans="1:14" x14ac:dyDescent="0.25">
      <c r="A76">
        <v>10075</v>
      </c>
      <c r="B76" s="4">
        <v>45001</v>
      </c>
      <c r="C76" t="s">
        <v>21</v>
      </c>
      <c r="D76" t="s">
        <v>22</v>
      </c>
      <c r="E76" t="s">
        <v>19</v>
      </c>
      <c r="F76" t="s">
        <v>24</v>
      </c>
      <c r="G76">
        <v>43</v>
      </c>
      <c r="H76" t="str">
        <f t="shared" si="1"/>
        <v>35-44</v>
      </c>
      <c r="I76">
        <v>8</v>
      </c>
      <c r="J76">
        <v>17369</v>
      </c>
      <c r="K76">
        <v>5</v>
      </c>
      <c r="L76">
        <v>138952</v>
      </c>
      <c r="M76">
        <v>6947.6</v>
      </c>
      <c r="N76">
        <v>132004.4</v>
      </c>
    </row>
    <row r="77" spans="1:14" x14ac:dyDescent="0.25">
      <c r="A77">
        <v>10076</v>
      </c>
      <c r="B77" s="4">
        <v>45002</v>
      </c>
      <c r="C77" t="s">
        <v>21</v>
      </c>
      <c r="D77" t="s">
        <v>27</v>
      </c>
      <c r="E77" t="s">
        <v>15</v>
      </c>
      <c r="F77" t="s">
        <v>20</v>
      </c>
      <c r="G77">
        <v>18</v>
      </c>
      <c r="H77" t="str">
        <f t="shared" si="1"/>
        <v>18-24</v>
      </c>
      <c r="I77">
        <v>4</v>
      </c>
      <c r="J77">
        <v>14101</v>
      </c>
      <c r="K77">
        <v>0</v>
      </c>
      <c r="L77">
        <v>56404</v>
      </c>
      <c r="M77">
        <v>0</v>
      </c>
      <c r="N77">
        <v>56404</v>
      </c>
    </row>
    <row r="78" spans="1:14" x14ac:dyDescent="0.25">
      <c r="A78">
        <v>10077</v>
      </c>
      <c r="B78" s="4">
        <v>45003</v>
      </c>
      <c r="C78" t="s">
        <v>13</v>
      </c>
      <c r="D78" t="s">
        <v>18</v>
      </c>
      <c r="E78" t="s">
        <v>25</v>
      </c>
      <c r="F78" t="s">
        <v>16</v>
      </c>
      <c r="G78">
        <v>42</v>
      </c>
      <c r="H78" t="str">
        <f t="shared" si="1"/>
        <v>35-44</v>
      </c>
      <c r="I78">
        <v>2</v>
      </c>
      <c r="J78">
        <v>3342</v>
      </c>
      <c r="K78">
        <v>10</v>
      </c>
      <c r="L78">
        <v>6684</v>
      </c>
      <c r="M78">
        <v>668.4</v>
      </c>
      <c r="N78">
        <v>6015.6</v>
      </c>
    </row>
    <row r="79" spans="1:14" x14ac:dyDescent="0.25">
      <c r="A79">
        <v>10078</v>
      </c>
      <c r="B79" s="4">
        <v>45004</v>
      </c>
      <c r="C79" t="s">
        <v>17</v>
      </c>
      <c r="D79" t="s">
        <v>14</v>
      </c>
      <c r="E79" t="s">
        <v>25</v>
      </c>
      <c r="F79" t="s">
        <v>24</v>
      </c>
      <c r="G79">
        <v>57</v>
      </c>
      <c r="H79" t="str">
        <f t="shared" si="1"/>
        <v>55+</v>
      </c>
      <c r="I79">
        <v>3</v>
      </c>
      <c r="J79">
        <v>33321</v>
      </c>
      <c r="K79">
        <v>15</v>
      </c>
      <c r="L79">
        <v>99963</v>
      </c>
      <c r="M79">
        <v>14994.45</v>
      </c>
      <c r="N79">
        <v>84968.55</v>
      </c>
    </row>
    <row r="80" spans="1:14" x14ac:dyDescent="0.25">
      <c r="A80">
        <v>10079</v>
      </c>
      <c r="B80" s="4">
        <v>45005</v>
      </c>
      <c r="C80" t="s">
        <v>13</v>
      </c>
      <c r="D80" t="s">
        <v>27</v>
      </c>
      <c r="E80" t="s">
        <v>19</v>
      </c>
      <c r="F80" t="s">
        <v>24</v>
      </c>
      <c r="G80">
        <v>39</v>
      </c>
      <c r="H80" t="str">
        <f t="shared" si="1"/>
        <v>35-44</v>
      </c>
      <c r="I80">
        <v>5</v>
      </c>
      <c r="J80">
        <v>46712</v>
      </c>
      <c r="K80">
        <v>15</v>
      </c>
      <c r="L80">
        <v>233560</v>
      </c>
      <c r="M80">
        <v>35034</v>
      </c>
      <c r="N80">
        <v>198526</v>
      </c>
    </row>
    <row r="81" spans="1:14" x14ac:dyDescent="0.25">
      <c r="A81">
        <v>10080</v>
      </c>
      <c r="B81" s="4">
        <v>45006</v>
      </c>
      <c r="C81" t="s">
        <v>33</v>
      </c>
      <c r="D81" t="s">
        <v>14</v>
      </c>
      <c r="E81" t="s">
        <v>25</v>
      </c>
      <c r="F81" t="s">
        <v>23</v>
      </c>
      <c r="G81">
        <v>39</v>
      </c>
      <c r="H81" t="str">
        <f t="shared" si="1"/>
        <v>35-44</v>
      </c>
      <c r="I81">
        <v>2</v>
      </c>
      <c r="J81">
        <v>4306</v>
      </c>
      <c r="K81">
        <v>20</v>
      </c>
      <c r="L81">
        <v>8612</v>
      </c>
      <c r="M81">
        <v>1722.4</v>
      </c>
      <c r="N81">
        <v>6889.6</v>
      </c>
    </row>
    <row r="82" spans="1:14" x14ac:dyDescent="0.25">
      <c r="A82">
        <v>10081</v>
      </c>
      <c r="B82" s="4">
        <v>45007</v>
      </c>
      <c r="C82" t="s">
        <v>17</v>
      </c>
      <c r="D82" t="s">
        <v>18</v>
      </c>
      <c r="E82" t="s">
        <v>25</v>
      </c>
      <c r="F82" t="s">
        <v>28</v>
      </c>
      <c r="G82">
        <v>63</v>
      </c>
      <c r="H82" t="str">
        <f t="shared" si="1"/>
        <v>55+</v>
      </c>
      <c r="I82">
        <v>1</v>
      </c>
      <c r="J82">
        <v>41427</v>
      </c>
      <c r="K82">
        <v>15</v>
      </c>
      <c r="L82">
        <v>41427</v>
      </c>
      <c r="M82">
        <v>6214.05</v>
      </c>
      <c r="N82">
        <v>35212.949999999997</v>
      </c>
    </row>
    <row r="83" spans="1:14" x14ac:dyDescent="0.25">
      <c r="A83">
        <v>10082</v>
      </c>
      <c r="B83" s="4">
        <v>45008</v>
      </c>
      <c r="C83" t="s">
        <v>21</v>
      </c>
      <c r="D83" t="s">
        <v>27</v>
      </c>
      <c r="E83" t="s">
        <v>19</v>
      </c>
      <c r="F83" t="s">
        <v>31</v>
      </c>
      <c r="G83">
        <v>62</v>
      </c>
      <c r="H83" t="str">
        <f t="shared" si="1"/>
        <v>55+</v>
      </c>
      <c r="I83">
        <v>7</v>
      </c>
      <c r="J83">
        <v>22884</v>
      </c>
      <c r="K83">
        <v>10</v>
      </c>
      <c r="L83">
        <v>160188</v>
      </c>
      <c r="M83">
        <v>16018.8</v>
      </c>
      <c r="N83">
        <v>144169.20000000001</v>
      </c>
    </row>
    <row r="84" spans="1:14" x14ac:dyDescent="0.25">
      <c r="A84">
        <v>10083</v>
      </c>
      <c r="B84" s="4">
        <v>45009</v>
      </c>
      <c r="C84" t="s">
        <v>21</v>
      </c>
      <c r="D84" t="s">
        <v>29</v>
      </c>
      <c r="E84" t="s">
        <v>32</v>
      </c>
      <c r="F84" t="s">
        <v>26</v>
      </c>
      <c r="G84">
        <v>42</v>
      </c>
      <c r="H84" t="str">
        <f t="shared" si="1"/>
        <v>35-44</v>
      </c>
      <c r="I84">
        <v>6</v>
      </c>
      <c r="J84">
        <v>14343</v>
      </c>
      <c r="K84">
        <v>15</v>
      </c>
      <c r="L84">
        <v>86058</v>
      </c>
      <c r="M84">
        <v>12908.7</v>
      </c>
      <c r="N84">
        <v>73149.3</v>
      </c>
    </row>
    <row r="85" spans="1:14" x14ac:dyDescent="0.25">
      <c r="A85">
        <v>10084</v>
      </c>
      <c r="B85" s="4">
        <v>45010</v>
      </c>
      <c r="C85" t="s">
        <v>13</v>
      </c>
      <c r="D85" t="s">
        <v>27</v>
      </c>
      <c r="E85" t="s">
        <v>15</v>
      </c>
      <c r="F85" t="s">
        <v>16</v>
      </c>
      <c r="G85">
        <v>37</v>
      </c>
      <c r="H85" t="str">
        <f t="shared" si="1"/>
        <v>35-44</v>
      </c>
      <c r="I85">
        <v>7</v>
      </c>
      <c r="J85">
        <v>37625</v>
      </c>
      <c r="K85">
        <v>10</v>
      </c>
      <c r="L85">
        <v>263375</v>
      </c>
      <c r="M85">
        <v>26337.5</v>
      </c>
      <c r="N85">
        <v>237037.5</v>
      </c>
    </row>
    <row r="86" spans="1:14" x14ac:dyDescent="0.25">
      <c r="A86">
        <v>10085</v>
      </c>
      <c r="B86" s="4">
        <v>45011</v>
      </c>
      <c r="C86" t="s">
        <v>17</v>
      </c>
      <c r="D86" t="s">
        <v>14</v>
      </c>
      <c r="E86" t="s">
        <v>15</v>
      </c>
      <c r="F86" t="s">
        <v>16</v>
      </c>
      <c r="G86">
        <v>22</v>
      </c>
      <c r="H86" t="str">
        <f t="shared" si="1"/>
        <v>18-24</v>
      </c>
      <c r="I86">
        <v>4</v>
      </c>
      <c r="J86">
        <v>23738</v>
      </c>
      <c r="K86">
        <v>20</v>
      </c>
      <c r="L86">
        <v>94952</v>
      </c>
      <c r="M86">
        <v>18990.400000000001</v>
      </c>
      <c r="N86">
        <v>75961.600000000006</v>
      </c>
    </row>
    <row r="87" spans="1:14" x14ac:dyDescent="0.25">
      <c r="A87">
        <v>10086</v>
      </c>
      <c r="B87" s="4">
        <v>45012</v>
      </c>
      <c r="C87" t="s">
        <v>33</v>
      </c>
      <c r="D87" t="s">
        <v>18</v>
      </c>
      <c r="E87" t="s">
        <v>15</v>
      </c>
      <c r="F87" t="s">
        <v>26</v>
      </c>
      <c r="G87">
        <v>21</v>
      </c>
      <c r="H87" t="str">
        <f t="shared" si="1"/>
        <v>18-24</v>
      </c>
      <c r="I87">
        <v>5</v>
      </c>
      <c r="J87">
        <v>27861</v>
      </c>
      <c r="K87">
        <v>15</v>
      </c>
      <c r="L87">
        <v>139305</v>
      </c>
      <c r="M87">
        <v>20895.75</v>
      </c>
      <c r="N87">
        <v>118409.25</v>
      </c>
    </row>
    <row r="88" spans="1:14" x14ac:dyDescent="0.25">
      <c r="A88">
        <v>10087</v>
      </c>
      <c r="B88" s="4">
        <v>45013</v>
      </c>
      <c r="C88" t="s">
        <v>17</v>
      </c>
      <c r="D88" t="s">
        <v>27</v>
      </c>
      <c r="E88" t="s">
        <v>19</v>
      </c>
      <c r="F88" t="s">
        <v>16</v>
      </c>
      <c r="G88">
        <v>24</v>
      </c>
      <c r="H88" t="str">
        <f t="shared" si="1"/>
        <v>18-24</v>
      </c>
      <c r="I88">
        <v>5</v>
      </c>
      <c r="J88">
        <v>24906</v>
      </c>
      <c r="K88">
        <v>0</v>
      </c>
      <c r="L88">
        <v>124530</v>
      </c>
      <c r="M88">
        <v>0</v>
      </c>
      <c r="N88">
        <v>124530</v>
      </c>
    </row>
    <row r="89" spans="1:14" x14ac:dyDescent="0.25">
      <c r="A89">
        <v>10088</v>
      </c>
      <c r="B89" s="4">
        <v>45014</v>
      </c>
      <c r="C89" t="s">
        <v>17</v>
      </c>
      <c r="D89" t="s">
        <v>29</v>
      </c>
      <c r="E89" t="s">
        <v>25</v>
      </c>
      <c r="F89" t="s">
        <v>30</v>
      </c>
      <c r="G89">
        <v>53</v>
      </c>
      <c r="H89" t="str">
        <f t="shared" si="1"/>
        <v>45-54</v>
      </c>
      <c r="I89">
        <v>7</v>
      </c>
      <c r="J89">
        <v>38948</v>
      </c>
      <c r="K89">
        <v>0</v>
      </c>
      <c r="L89">
        <v>272636</v>
      </c>
      <c r="M89">
        <v>0</v>
      </c>
      <c r="N89">
        <v>272636</v>
      </c>
    </row>
    <row r="90" spans="1:14" x14ac:dyDescent="0.25">
      <c r="A90">
        <v>10089</v>
      </c>
      <c r="B90" s="4">
        <v>45015</v>
      </c>
      <c r="C90" t="s">
        <v>33</v>
      </c>
      <c r="D90" t="s">
        <v>22</v>
      </c>
      <c r="E90" t="s">
        <v>25</v>
      </c>
      <c r="F90" t="s">
        <v>16</v>
      </c>
      <c r="G90">
        <v>64</v>
      </c>
      <c r="H90" t="str">
        <f t="shared" si="1"/>
        <v>55+</v>
      </c>
      <c r="I90">
        <v>5</v>
      </c>
      <c r="J90">
        <v>37996</v>
      </c>
      <c r="K90">
        <v>5</v>
      </c>
      <c r="L90">
        <v>189980</v>
      </c>
      <c r="M90">
        <v>9499</v>
      </c>
      <c r="N90">
        <v>180481</v>
      </c>
    </row>
    <row r="91" spans="1:14" x14ac:dyDescent="0.25">
      <c r="A91">
        <v>10090</v>
      </c>
      <c r="B91" s="4">
        <v>45016</v>
      </c>
      <c r="C91" t="s">
        <v>13</v>
      </c>
      <c r="D91" t="s">
        <v>14</v>
      </c>
      <c r="E91" t="s">
        <v>25</v>
      </c>
      <c r="F91" t="s">
        <v>31</v>
      </c>
      <c r="G91">
        <v>52</v>
      </c>
      <c r="H91" t="str">
        <f t="shared" si="1"/>
        <v>45-54</v>
      </c>
      <c r="I91">
        <v>7</v>
      </c>
      <c r="J91">
        <v>7711</v>
      </c>
      <c r="K91">
        <v>15</v>
      </c>
      <c r="L91">
        <v>53977</v>
      </c>
      <c r="M91">
        <v>8096.55</v>
      </c>
      <c r="N91">
        <v>45880.45</v>
      </c>
    </row>
    <row r="92" spans="1:14" x14ac:dyDescent="0.25">
      <c r="A92">
        <v>10091</v>
      </c>
      <c r="B92" s="4">
        <v>45017</v>
      </c>
      <c r="C92" t="s">
        <v>21</v>
      </c>
      <c r="D92" t="s">
        <v>14</v>
      </c>
      <c r="E92" t="s">
        <v>32</v>
      </c>
      <c r="F92" t="s">
        <v>30</v>
      </c>
      <c r="G92">
        <v>42</v>
      </c>
      <c r="H92" t="str">
        <f t="shared" si="1"/>
        <v>35-44</v>
      </c>
      <c r="I92">
        <v>9</v>
      </c>
      <c r="J92">
        <v>16101</v>
      </c>
      <c r="K92">
        <v>0</v>
      </c>
      <c r="L92">
        <v>144909</v>
      </c>
      <c r="M92">
        <v>0</v>
      </c>
      <c r="N92">
        <v>144909</v>
      </c>
    </row>
    <row r="93" spans="1:14" x14ac:dyDescent="0.25">
      <c r="A93">
        <v>10092</v>
      </c>
      <c r="B93" s="4">
        <v>45018</v>
      </c>
      <c r="C93" t="s">
        <v>33</v>
      </c>
      <c r="D93" t="s">
        <v>27</v>
      </c>
      <c r="E93" t="s">
        <v>19</v>
      </c>
      <c r="F93" t="s">
        <v>28</v>
      </c>
      <c r="G93">
        <v>41</v>
      </c>
      <c r="H93" t="str">
        <f t="shared" si="1"/>
        <v>35-44</v>
      </c>
      <c r="I93">
        <v>6</v>
      </c>
      <c r="J93">
        <v>109</v>
      </c>
      <c r="K93">
        <v>5</v>
      </c>
      <c r="L93">
        <v>654</v>
      </c>
      <c r="M93">
        <v>32.700000000000003</v>
      </c>
      <c r="N93">
        <v>621.29999999999995</v>
      </c>
    </row>
    <row r="94" spans="1:14" x14ac:dyDescent="0.25">
      <c r="A94">
        <v>10093</v>
      </c>
      <c r="B94" s="4">
        <v>45019</v>
      </c>
      <c r="C94" t="s">
        <v>13</v>
      </c>
      <c r="D94" t="s">
        <v>27</v>
      </c>
      <c r="E94" t="s">
        <v>15</v>
      </c>
      <c r="F94" t="s">
        <v>16</v>
      </c>
      <c r="G94">
        <v>27</v>
      </c>
      <c r="H94" t="str">
        <f t="shared" si="1"/>
        <v>25-34</v>
      </c>
      <c r="I94">
        <v>5</v>
      </c>
      <c r="J94">
        <v>17243</v>
      </c>
      <c r="K94">
        <v>15</v>
      </c>
      <c r="L94">
        <v>86215</v>
      </c>
      <c r="M94">
        <v>12932.25</v>
      </c>
      <c r="N94">
        <v>73282.75</v>
      </c>
    </row>
    <row r="95" spans="1:14" x14ac:dyDescent="0.25">
      <c r="A95">
        <v>10094</v>
      </c>
      <c r="B95" s="4">
        <v>45020</v>
      </c>
      <c r="C95" t="s">
        <v>17</v>
      </c>
      <c r="D95" t="s">
        <v>27</v>
      </c>
      <c r="E95" t="s">
        <v>25</v>
      </c>
      <c r="F95" t="s">
        <v>30</v>
      </c>
      <c r="G95">
        <v>38</v>
      </c>
      <c r="H95" t="str">
        <f t="shared" si="1"/>
        <v>35-44</v>
      </c>
      <c r="I95">
        <v>2</v>
      </c>
      <c r="J95">
        <v>16161</v>
      </c>
      <c r="K95">
        <v>20</v>
      </c>
      <c r="L95">
        <v>32322</v>
      </c>
      <c r="M95">
        <v>6464.4</v>
      </c>
      <c r="N95">
        <v>25857.599999999999</v>
      </c>
    </row>
    <row r="96" spans="1:14" x14ac:dyDescent="0.25">
      <c r="A96">
        <v>10095</v>
      </c>
      <c r="B96" s="4">
        <v>45021</v>
      </c>
      <c r="C96" t="s">
        <v>17</v>
      </c>
      <c r="D96" t="s">
        <v>14</v>
      </c>
      <c r="E96" t="s">
        <v>25</v>
      </c>
      <c r="F96" t="s">
        <v>30</v>
      </c>
      <c r="G96">
        <v>30</v>
      </c>
      <c r="H96" t="str">
        <f t="shared" si="1"/>
        <v>25-34</v>
      </c>
      <c r="I96">
        <v>7</v>
      </c>
      <c r="J96">
        <v>2940</v>
      </c>
      <c r="K96">
        <v>0</v>
      </c>
      <c r="L96">
        <v>20580</v>
      </c>
      <c r="M96">
        <v>0</v>
      </c>
      <c r="N96">
        <v>20580</v>
      </c>
    </row>
    <row r="97" spans="1:14" x14ac:dyDescent="0.25">
      <c r="A97">
        <v>10096</v>
      </c>
      <c r="B97" s="4">
        <v>45022</v>
      </c>
      <c r="C97" t="s">
        <v>33</v>
      </c>
      <c r="D97" t="s">
        <v>29</v>
      </c>
      <c r="E97" t="s">
        <v>15</v>
      </c>
      <c r="F97" t="s">
        <v>26</v>
      </c>
      <c r="G97">
        <v>26</v>
      </c>
      <c r="H97" t="str">
        <f t="shared" si="1"/>
        <v>25-34</v>
      </c>
      <c r="I97">
        <v>8</v>
      </c>
      <c r="J97">
        <v>36489</v>
      </c>
      <c r="K97">
        <v>15</v>
      </c>
      <c r="L97">
        <v>291912</v>
      </c>
      <c r="M97">
        <v>43786.8</v>
      </c>
      <c r="N97">
        <v>248125.2</v>
      </c>
    </row>
    <row r="98" spans="1:14" x14ac:dyDescent="0.25">
      <c r="A98">
        <v>10097</v>
      </c>
      <c r="B98" s="4">
        <v>45023</v>
      </c>
      <c r="C98" t="s">
        <v>17</v>
      </c>
      <c r="D98" t="s">
        <v>22</v>
      </c>
      <c r="E98" t="s">
        <v>25</v>
      </c>
      <c r="F98" t="s">
        <v>24</v>
      </c>
      <c r="G98">
        <v>33</v>
      </c>
      <c r="H98" t="str">
        <f t="shared" si="1"/>
        <v>25-34</v>
      </c>
      <c r="I98">
        <v>5</v>
      </c>
      <c r="J98">
        <v>2767</v>
      </c>
      <c r="K98">
        <v>10</v>
      </c>
      <c r="L98">
        <v>13835</v>
      </c>
      <c r="M98">
        <v>1383.5</v>
      </c>
      <c r="N98">
        <v>12451.5</v>
      </c>
    </row>
    <row r="99" spans="1:14" x14ac:dyDescent="0.25">
      <c r="A99">
        <v>10098</v>
      </c>
      <c r="B99" s="4">
        <v>45024</v>
      </c>
      <c r="C99" t="s">
        <v>13</v>
      </c>
      <c r="D99" t="s">
        <v>22</v>
      </c>
      <c r="E99" t="s">
        <v>15</v>
      </c>
      <c r="F99" t="s">
        <v>23</v>
      </c>
      <c r="G99">
        <v>36</v>
      </c>
      <c r="H99" t="str">
        <f t="shared" si="1"/>
        <v>35-44</v>
      </c>
      <c r="I99">
        <v>4</v>
      </c>
      <c r="J99">
        <v>24234</v>
      </c>
      <c r="K99">
        <v>15</v>
      </c>
      <c r="L99">
        <v>96936</v>
      </c>
      <c r="M99">
        <v>14540.4</v>
      </c>
      <c r="N99">
        <v>82395.600000000006</v>
      </c>
    </row>
    <row r="100" spans="1:14" x14ac:dyDescent="0.25">
      <c r="A100">
        <v>10099</v>
      </c>
      <c r="B100" s="4">
        <v>45025</v>
      </c>
      <c r="C100" t="s">
        <v>21</v>
      </c>
      <c r="D100" t="s">
        <v>22</v>
      </c>
      <c r="E100" t="s">
        <v>32</v>
      </c>
      <c r="F100" t="s">
        <v>16</v>
      </c>
      <c r="G100">
        <v>59</v>
      </c>
      <c r="H100" t="str">
        <f t="shared" si="1"/>
        <v>55+</v>
      </c>
      <c r="I100">
        <v>4</v>
      </c>
      <c r="J100">
        <v>36631</v>
      </c>
      <c r="K100">
        <v>10</v>
      </c>
      <c r="L100">
        <v>146524</v>
      </c>
      <c r="M100">
        <v>14652.4</v>
      </c>
      <c r="N100">
        <v>131871.6</v>
      </c>
    </row>
    <row r="101" spans="1:14" x14ac:dyDescent="0.25">
      <c r="A101">
        <v>10100</v>
      </c>
      <c r="B101" s="4">
        <v>45026</v>
      </c>
      <c r="C101" t="s">
        <v>17</v>
      </c>
      <c r="D101" t="s">
        <v>29</v>
      </c>
      <c r="E101" t="s">
        <v>32</v>
      </c>
      <c r="F101" t="s">
        <v>28</v>
      </c>
      <c r="G101">
        <v>45</v>
      </c>
      <c r="H101" t="str">
        <f t="shared" si="1"/>
        <v>45-54</v>
      </c>
      <c r="I101">
        <v>5</v>
      </c>
      <c r="J101">
        <v>29238</v>
      </c>
      <c r="K101">
        <v>0</v>
      </c>
      <c r="L101">
        <v>146190</v>
      </c>
      <c r="M101">
        <v>0</v>
      </c>
      <c r="N101">
        <v>146190</v>
      </c>
    </row>
    <row r="102" spans="1:14" x14ac:dyDescent="0.25">
      <c r="A102">
        <v>10101</v>
      </c>
      <c r="B102" s="4">
        <v>45027</v>
      </c>
      <c r="C102" t="s">
        <v>13</v>
      </c>
      <c r="D102" t="s">
        <v>27</v>
      </c>
      <c r="E102" t="s">
        <v>25</v>
      </c>
      <c r="F102" t="s">
        <v>24</v>
      </c>
      <c r="G102">
        <v>50</v>
      </c>
      <c r="H102" t="str">
        <f t="shared" si="1"/>
        <v>45-54</v>
      </c>
      <c r="I102">
        <v>9</v>
      </c>
      <c r="J102">
        <v>25015</v>
      </c>
      <c r="K102">
        <v>10</v>
      </c>
      <c r="L102">
        <v>225135</v>
      </c>
      <c r="M102">
        <v>22513.5</v>
      </c>
      <c r="N102">
        <v>202621.5</v>
      </c>
    </row>
    <row r="103" spans="1:14" x14ac:dyDescent="0.25">
      <c r="A103">
        <v>10102</v>
      </c>
      <c r="B103" s="4">
        <v>45028</v>
      </c>
      <c r="C103" t="s">
        <v>13</v>
      </c>
      <c r="D103" t="s">
        <v>22</v>
      </c>
      <c r="E103" t="s">
        <v>15</v>
      </c>
      <c r="F103" t="s">
        <v>28</v>
      </c>
      <c r="G103">
        <v>36</v>
      </c>
      <c r="H103" t="str">
        <f t="shared" si="1"/>
        <v>35-44</v>
      </c>
      <c r="I103">
        <v>3</v>
      </c>
      <c r="J103">
        <v>38606</v>
      </c>
      <c r="K103">
        <v>15</v>
      </c>
      <c r="L103">
        <v>115818</v>
      </c>
      <c r="M103">
        <v>17372.7</v>
      </c>
      <c r="N103">
        <v>98445.3</v>
      </c>
    </row>
    <row r="104" spans="1:14" x14ac:dyDescent="0.25">
      <c r="A104">
        <v>10103</v>
      </c>
      <c r="B104" s="4">
        <v>45029</v>
      </c>
      <c r="C104" t="s">
        <v>17</v>
      </c>
      <c r="D104" t="s">
        <v>22</v>
      </c>
      <c r="E104" t="s">
        <v>19</v>
      </c>
      <c r="F104" t="s">
        <v>28</v>
      </c>
      <c r="G104">
        <v>43</v>
      </c>
      <c r="H104" t="str">
        <f t="shared" si="1"/>
        <v>35-44</v>
      </c>
      <c r="I104">
        <v>9</v>
      </c>
      <c r="J104">
        <v>15261</v>
      </c>
      <c r="K104">
        <v>15</v>
      </c>
      <c r="L104">
        <v>137349</v>
      </c>
      <c r="M104">
        <v>20602.349999999999</v>
      </c>
      <c r="N104">
        <v>116746.65</v>
      </c>
    </row>
    <row r="105" spans="1:14" x14ac:dyDescent="0.25">
      <c r="A105">
        <v>10104</v>
      </c>
      <c r="B105" s="4">
        <v>45030</v>
      </c>
      <c r="C105" t="s">
        <v>33</v>
      </c>
      <c r="D105" t="s">
        <v>27</v>
      </c>
      <c r="E105" t="s">
        <v>32</v>
      </c>
      <c r="F105" t="s">
        <v>24</v>
      </c>
      <c r="G105">
        <v>25</v>
      </c>
      <c r="H105" t="str">
        <f t="shared" si="1"/>
        <v>25-34</v>
      </c>
      <c r="I105">
        <v>5</v>
      </c>
      <c r="J105">
        <v>17782</v>
      </c>
      <c r="K105">
        <v>10</v>
      </c>
      <c r="L105">
        <v>88910</v>
      </c>
      <c r="M105">
        <v>8891</v>
      </c>
      <c r="N105">
        <v>80019</v>
      </c>
    </row>
    <row r="106" spans="1:14" x14ac:dyDescent="0.25">
      <c r="A106">
        <v>10105</v>
      </c>
      <c r="B106" s="4">
        <v>45031</v>
      </c>
      <c r="C106" t="s">
        <v>21</v>
      </c>
      <c r="D106" t="s">
        <v>27</v>
      </c>
      <c r="E106" t="s">
        <v>15</v>
      </c>
      <c r="F106" t="s">
        <v>31</v>
      </c>
      <c r="G106">
        <v>27</v>
      </c>
      <c r="H106" t="str">
        <f t="shared" si="1"/>
        <v>25-34</v>
      </c>
      <c r="I106">
        <v>9</v>
      </c>
      <c r="J106">
        <v>30993</v>
      </c>
      <c r="K106">
        <v>0</v>
      </c>
      <c r="L106">
        <v>278937</v>
      </c>
      <c r="M106">
        <v>0</v>
      </c>
      <c r="N106">
        <v>278937</v>
      </c>
    </row>
    <row r="107" spans="1:14" x14ac:dyDescent="0.25">
      <c r="A107">
        <v>10106</v>
      </c>
      <c r="B107" s="4">
        <v>45032</v>
      </c>
      <c r="C107" t="s">
        <v>21</v>
      </c>
      <c r="D107" t="s">
        <v>18</v>
      </c>
      <c r="E107" t="s">
        <v>25</v>
      </c>
      <c r="F107" t="s">
        <v>30</v>
      </c>
      <c r="G107">
        <v>50</v>
      </c>
      <c r="H107" t="str">
        <f t="shared" si="1"/>
        <v>45-54</v>
      </c>
      <c r="I107">
        <v>9</v>
      </c>
      <c r="J107">
        <v>546</v>
      </c>
      <c r="K107">
        <v>5</v>
      </c>
      <c r="L107">
        <v>4914</v>
      </c>
      <c r="M107">
        <v>245.7</v>
      </c>
      <c r="N107">
        <v>4668.3</v>
      </c>
    </row>
    <row r="108" spans="1:14" x14ac:dyDescent="0.25">
      <c r="A108">
        <v>10107</v>
      </c>
      <c r="B108" s="4">
        <v>45033</v>
      </c>
      <c r="C108" t="s">
        <v>33</v>
      </c>
      <c r="D108" t="s">
        <v>29</v>
      </c>
      <c r="E108" t="s">
        <v>32</v>
      </c>
      <c r="F108" t="s">
        <v>24</v>
      </c>
      <c r="G108">
        <v>43</v>
      </c>
      <c r="H108" t="str">
        <f t="shared" si="1"/>
        <v>35-44</v>
      </c>
      <c r="I108">
        <v>5</v>
      </c>
      <c r="J108">
        <v>36922</v>
      </c>
      <c r="K108">
        <v>20</v>
      </c>
      <c r="L108">
        <v>184610</v>
      </c>
      <c r="M108">
        <v>36922</v>
      </c>
      <c r="N108">
        <v>147688</v>
      </c>
    </row>
    <row r="109" spans="1:14" x14ac:dyDescent="0.25">
      <c r="A109">
        <v>10108</v>
      </c>
      <c r="B109" s="4">
        <v>45034</v>
      </c>
      <c r="C109" t="s">
        <v>33</v>
      </c>
      <c r="D109" t="s">
        <v>22</v>
      </c>
      <c r="E109" t="s">
        <v>25</v>
      </c>
      <c r="F109" t="s">
        <v>26</v>
      </c>
      <c r="G109">
        <v>33</v>
      </c>
      <c r="H109" t="str">
        <f t="shared" si="1"/>
        <v>25-34</v>
      </c>
      <c r="I109">
        <v>4</v>
      </c>
      <c r="J109">
        <v>28710</v>
      </c>
      <c r="K109">
        <v>5</v>
      </c>
      <c r="L109">
        <v>114840</v>
      </c>
      <c r="M109">
        <v>5742</v>
      </c>
      <c r="N109">
        <v>109098</v>
      </c>
    </row>
    <row r="110" spans="1:14" x14ac:dyDescent="0.25">
      <c r="A110">
        <v>10109</v>
      </c>
      <c r="B110" s="4">
        <v>45035</v>
      </c>
      <c r="C110" t="s">
        <v>17</v>
      </c>
      <c r="D110" t="s">
        <v>18</v>
      </c>
      <c r="E110" t="s">
        <v>32</v>
      </c>
      <c r="F110" t="s">
        <v>23</v>
      </c>
      <c r="G110">
        <v>42</v>
      </c>
      <c r="H110" t="str">
        <f t="shared" si="1"/>
        <v>35-44</v>
      </c>
      <c r="I110">
        <v>9</v>
      </c>
      <c r="J110">
        <v>31894</v>
      </c>
      <c r="K110">
        <v>15</v>
      </c>
      <c r="L110">
        <v>287046</v>
      </c>
      <c r="M110">
        <v>43056.9</v>
      </c>
      <c r="N110">
        <v>243989.1</v>
      </c>
    </row>
    <row r="111" spans="1:14" x14ac:dyDescent="0.25">
      <c r="A111">
        <v>10110</v>
      </c>
      <c r="B111" s="4">
        <v>45036</v>
      </c>
      <c r="C111" t="s">
        <v>17</v>
      </c>
      <c r="D111" t="s">
        <v>29</v>
      </c>
      <c r="E111" t="s">
        <v>25</v>
      </c>
      <c r="F111" t="s">
        <v>16</v>
      </c>
      <c r="G111">
        <v>40</v>
      </c>
      <c r="H111" t="str">
        <f t="shared" si="1"/>
        <v>35-44</v>
      </c>
      <c r="I111">
        <v>2</v>
      </c>
      <c r="J111">
        <v>28993</v>
      </c>
      <c r="K111">
        <v>0</v>
      </c>
      <c r="L111">
        <v>57986</v>
      </c>
      <c r="M111">
        <v>0</v>
      </c>
      <c r="N111">
        <v>57986</v>
      </c>
    </row>
    <row r="112" spans="1:14" x14ac:dyDescent="0.25">
      <c r="A112">
        <v>10111</v>
      </c>
      <c r="B112" s="4">
        <v>45037</v>
      </c>
      <c r="C112" t="s">
        <v>17</v>
      </c>
      <c r="D112" t="s">
        <v>29</v>
      </c>
      <c r="E112" t="s">
        <v>32</v>
      </c>
      <c r="F112" t="s">
        <v>20</v>
      </c>
      <c r="G112">
        <v>52</v>
      </c>
      <c r="H112" t="str">
        <f t="shared" si="1"/>
        <v>45-54</v>
      </c>
      <c r="I112">
        <v>1</v>
      </c>
      <c r="J112">
        <v>46636</v>
      </c>
      <c r="K112">
        <v>15</v>
      </c>
      <c r="L112">
        <v>46636</v>
      </c>
      <c r="M112">
        <v>6995.4</v>
      </c>
      <c r="N112">
        <v>39640.6</v>
      </c>
    </row>
    <row r="113" spans="1:14" x14ac:dyDescent="0.25">
      <c r="A113">
        <v>10112</v>
      </c>
      <c r="B113" s="4">
        <v>45038</v>
      </c>
      <c r="C113" t="s">
        <v>17</v>
      </c>
      <c r="D113" t="s">
        <v>14</v>
      </c>
      <c r="E113" t="s">
        <v>15</v>
      </c>
      <c r="F113" t="s">
        <v>23</v>
      </c>
      <c r="G113">
        <v>25</v>
      </c>
      <c r="H113" t="str">
        <f t="shared" si="1"/>
        <v>25-34</v>
      </c>
      <c r="I113">
        <v>9</v>
      </c>
      <c r="J113">
        <v>41692</v>
      </c>
      <c r="K113">
        <v>5</v>
      </c>
      <c r="L113">
        <v>375228</v>
      </c>
      <c r="M113">
        <v>18761.400000000001</v>
      </c>
      <c r="N113">
        <v>356466.6</v>
      </c>
    </row>
    <row r="114" spans="1:14" x14ac:dyDescent="0.25">
      <c r="A114">
        <v>10113</v>
      </c>
      <c r="B114" s="4">
        <v>45039</v>
      </c>
      <c r="C114" t="s">
        <v>13</v>
      </c>
      <c r="D114" t="s">
        <v>27</v>
      </c>
      <c r="E114" t="s">
        <v>25</v>
      </c>
      <c r="F114" t="s">
        <v>24</v>
      </c>
      <c r="G114">
        <v>55</v>
      </c>
      <c r="H114" t="str">
        <f t="shared" si="1"/>
        <v>55+</v>
      </c>
      <c r="I114">
        <v>7</v>
      </c>
      <c r="J114">
        <v>16459</v>
      </c>
      <c r="K114">
        <v>5</v>
      </c>
      <c r="L114">
        <v>115213</v>
      </c>
      <c r="M114">
        <v>5760.65</v>
      </c>
      <c r="N114">
        <v>109452.35</v>
      </c>
    </row>
    <row r="115" spans="1:14" x14ac:dyDescent="0.25">
      <c r="A115">
        <v>10114</v>
      </c>
      <c r="B115" s="4">
        <v>45040</v>
      </c>
      <c r="C115" t="s">
        <v>17</v>
      </c>
      <c r="D115" t="s">
        <v>22</v>
      </c>
      <c r="E115" t="s">
        <v>19</v>
      </c>
      <c r="F115" t="s">
        <v>28</v>
      </c>
      <c r="G115">
        <v>52</v>
      </c>
      <c r="H115" t="str">
        <f t="shared" si="1"/>
        <v>45-54</v>
      </c>
      <c r="I115">
        <v>6</v>
      </c>
      <c r="J115">
        <v>21162</v>
      </c>
      <c r="K115">
        <v>10</v>
      </c>
      <c r="L115">
        <v>126972</v>
      </c>
      <c r="M115">
        <v>12697.2</v>
      </c>
      <c r="N115">
        <v>114274.8</v>
      </c>
    </row>
    <row r="116" spans="1:14" x14ac:dyDescent="0.25">
      <c r="A116">
        <v>10115</v>
      </c>
      <c r="B116" s="4">
        <v>45041</v>
      </c>
      <c r="C116" t="s">
        <v>17</v>
      </c>
      <c r="D116" t="s">
        <v>18</v>
      </c>
      <c r="E116" t="s">
        <v>19</v>
      </c>
      <c r="F116" t="s">
        <v>20</v>
      </c>
      <c r="G116">
        <v>57</v>
      </c>
      <c r="H116" t="str">
        <f t="shared" si="1"/>
        <v>55+</v>
      </c>
      <c r="I116">
        <v>8</v>
      </c>
      <c r="J116">
        <v>12080</v>
      </c>
      <c r="K116">
        <v>5</v>
      </c>
      <c r="L116">
        <v>96640</v>
      </c>
      <c r="M116">
        <v>4832</v>
      </c>
      <c r="N116">
        <v>91808</v>
      </c>
    </row>
    <row r="117" spans="1:14" x14ac:dyDescent="0.25">
      <c r="A117">
        <v>10116</v>
      </c>
      <c r="B117" s="4">
        <v>45042</v>
      </c>
      <c r="C117" t="s">
        <v>21</v>
      </c>
      <c r="D117" t="s">
        <v>22</v>
      </c>
      <c r="E117" t="s">
        <v>15</v>
      </c>
      <c r="F117" t="s">
        <v>26</v>
      </c>
      <c r="G117">
        <v>18</v>
      </c>
      <c r="H117" t="str">
        <f t="shared" si="1"/>
        <v>18-24</v>
      </c>
      <c r="I117">
        <v>6</v>
      </c>
      <c r="J117">
        <v>4404</v>
      </c>
      <c r="K117">
        <v>15</v>
      </c>
      <c r="L117">
        <v>26424</v>
      </c>
      <c r="M117">
        <v>3963.6</v>
      </c>
      <c r="N117">
        <v>22460.400000000001</v>
      </c>
    </row>
    <row r="118" spans="1:14" x14ac:dyDescent="0.25">
      <c r="A118">
        <v>10117</v>
      </c>
      <c r="B118" s="4">
        <v>45043</v>
      </c>
      <c r="C118" t="s">
        <v>33</v>
      </c>
      <c r="D118" t="s">
        <v>18</v>
      </c>
      <c r="E118" t="s">
        <v>15</v>
      </c>
      <c r="F118" t="s">
        <v>16</v>
      </c>
      <c r="G118">
        <v>29</v>
      </c>
      <c r="H118" t="str">
        <f t="shared" si="1"/>
        <v>25-34</v>
      </c>
      <c r="I118">
        <v>3</v>
      </c>
      <c r="J118">
        <v>23688</v>
      </c>
      <c r="K118">
        <v>15</v>
      </c>
      <c r="L118">
        <v>71064</v>
      </c>
      <c r="M118">
        <v>10659.6</v>
      </c>
      <c r="N118">
        <v>60404.4</v>
      </c>
    </row>
    <row r="119" spans="1:14" x14ac:dyDescent="0.25">
      <c r="A119">
        <v>10118</v>
      </c>
      <c r="B119" s="4">
        <v>45044</v>
      </c>
      <c r="C119" t="s">
        <v>33</v>
      </c>
      <c r="D119" t="s">
        <v>22</v>
      </c>
      <c r="E119" t="s">
        <v>32</v>
      </c>
      <c r="F119" t="s">
        <v>28</v>
      </c>
      <c r="G119">
        <v>27</v>
      </c>
      <c r="H119" t="str">
        <f t="shared" si="1"/>
        <v>25-34</v>
      </c>
      <c r="I119">
        <v>7</v>
      </c>
      <c r="J119">
        <v>40744</v>
      </c>
      <c r="K119">
        <v>10</v>
      </c>
      <c r="L119">
        <v>285208</v>
      </c>
      <c r="M119">
        <v>28520.799999999999</v>
      </c>
      <c r="N119">
        <v>256687.2</v>
      </c>
    </row>
    <row r="120" spans="1:14" x14ac:dyDescent="0.25">
      <c r="A120">
        <v>10119</v>
      </c>
      <c r="B120" s="4">
        <v>45045</v>
      </c>
      <c r="C120" t="s">
        <v>33</v>
      </c>
      <c r="D120" t="s">
        <v>29</v>
      </c>
      <c r="E120" t="s">
        <v>32</v>
      </c>
      <c r="F120" t="s">
        <v>28</v>
      </c>
      <c r="G120">
        <v>18</v>
      </c>
      <c r="H120" t="str">
        <f t="shared" si="1"/>
        <v>18-24</v>
      </c>
      <c r="I120">
        <v>8</v>
      </c>
      <c r="J120">
        <v>10707</v>
      </c>
      <c r="K120">
        <v>10</v>
      </c>
      <c r="L120">
        <v>85656</v>
      </c>
      <c r="M120">
        <v>8565.6</v>
      </c>
      <c r="N120">
        <v>77090.399999999994</v>
      </c>
    </row>
    <row r="121" spans="1:14" x14ac:dyDescent="0.25">
      <c r="A121">
        <v>10120</v>
      </c>
      <c r="B121" s="4">
        <v>45046</v>
      </c>
      <c r="C121" t="s">
        <v>21</v>
      </c>
      <c r="D121" t="s">
        <v>29</v>
      </c>
      <c r="E121" t="s">
        <v>32</v>
      </c>
      <c r="F121" t="s">
        <v>24</v>
      </c>
      <c r="G121">
        <v>57</v>
      </c>
      <c r="H121" t="str">
        <f t="shared" si="1"/>
        <v>55+</v>
      </c>
      <c r="I121">
        <v>5</v>
      </c>
      <c r="J121">
        <v>18184</v>
      </c>
      <c r="K121">
        <v>10</v>
      </c>
      <c r="L121">
        <v>90920</v>
      </c>
      <c r="M121">
        <v>9092</v>
      </c>
      <c r="N121">
        <v>81828</v>
      </c>
    </row>
    <row r="122" spans="1:14" x14ac:dyDescent="0.25">
      <c r="A122">
        <v>10121</v>
      </c>
      <c r="B122" s="4">
        <v>45047</v>
      </c>
      <c r="C122" t="s">
        <v>21</v>
      </c>
      <c r="D122" t="s">
        <v>27</v>
      </c>
      <c r="E122" t="s">
        <v>15</v>
      </c>
      <c r="F122" t="s">
        <v>26</v>
      </c>
      <c r="G122">
        <v>32</v>
      </c>
      <c r="H122" t="str">
        <f t="shared" si="1"/>
        <v>25-34</v>
      </c>
      <c r="I122">
        <v>7</v>
      </c>
      <c r="J122">
        <v>14543</v>
      </c>
      <c r="K122">
        <v>15</v>
      </c>
      <c r="L122">
        <v>101801</v>
      </c>
      <c r="M122">
        <v>15270.15</v>
      </c>
      <c r="N122">
        <v>86530.85</v>
      </c>
    </row>
    <row r="123" spans="1:14" x14ac:dyDescent="0.25">
      <c r="A123">
        <v>10122</v>
      </c>
      <c r="B123" s="4">
        <v>45048</v>
      </c>
      <c r="C123" t="s">
        <v>17</v>
      </c>
      <c r="D123" t="s">
        <v>14</v>
      </c>
      <c r="E123" t="s">
        <v>25</v>
      </c>
      <c r="F123" t="s">
        <v>26</v>
      </c>
      <c r="G123">
        <v>40</v>
      </c>
      <c r="H123" t="str">
        <f t="shared" si="1"/>
        <v>35-44</v>
      </c>
      <c r="I123">
        <v>9</v>
      </c>
      <c r="J123">
        <v>32048</v>
      </c>
      <c r="K123">
        <v>10</v>
      </c>
      <c r="L123">
        <v>288432</v>
      </c>
      <c r="M123">
        <v>28843.200000000001</v>
      </c>
      <c r="N123">
        <v>259588.8</v>
      </c>
    </row>
    <row r="124" spans="1:14" x14ac:dyDescent="0.25">
      <c r="A124">
        <v>10123</v>
      </c>
      <c r="B124" s="4">
        <v>45049</v>
      </c>
      <c r="C124" t="s">
        <v>17</v>
      </c>
      <c r="D124" t="s">
        <v>18</v>
      </c>
      <c r="E124" t="s">
        <v>15</v>
      </c>
      <c r="F124" t="s">
        <v>30</v>
      </c>
      <c r="G124">
        <v>44</v>
      </c>
      <c r="H124" t="str">
        <f t="shared" si="1"/>
        <v>35-44</v>
      </c>
      <c r="I124">
        <v>4</v>
      </c>
      <c r="J124">
        <v>11280</v>
      </c>
      <c r="K124">
        <v>5</v>
      </c>
      <c r="L124">
        <v>45120</v>
      </c>
      <c r="M124">
        <v>2256</v>
      </c>
      <c r="N124">
        <v>42864</v>
      </c>
    </row>
    <row r="125" spans="1:14" x14ac:dyDescent="0.25">
      <c r="A125">
        <v>10124</v>
      </c>
      <c r="B125" s="4">
        <v>45050</v>
      </c>
      <c r="C125" t="s">
        <v>13</v>
      </c>
      <c r="D125" t="s">
        <v>14</v>
      </c>
      <c r="E125" t="s">
        <v>32</v>
      </c>
      <c r="F125" t="s">
        <v>20</v>
      </c>
      <c r="G125">
        <v>33</v>
      </c>
      <c r="H125" t="str">
        <f t="shared" si="1"/>
        <v>25-34</v>
      </c>
      <c r="I125">
        <v>2</v>
      </c>
      <c r="J125">
        <v>35859</v>
      </c>
      <c r="K125">
        <v>10</v>
      </c>
      <c r="L125">
        <v>71718</v>
      </c>
      <c r="M125">
        <v>7171.8</v>
      </c>
      <c r="N125">
        <v>64546.2</v>
      </c>
    </row>
    <row r="126" spans="1:14" x14ac:dyDescent="0.25">
      <c r="A126">
        <v>10125</v>
      </c>
      <c r="B126" s="4">
        <v>45051</v>
      </c>
      <c r="C126" t="s">
        <v>13</v>
      </c>
      <c r="D126" t="s">
        <v>18</v>
      </c>
      <c r="E126" t="s">
        <v>32</v>
      </c>
      <c r="F126" t="s">
        <v>30</v>
      </c>
      <c r="G126">
        <v>35</v>
      </c>
      <c r="H126" t="str">
        <f t="shared" si="1"/>
        <v>35-44</v>
      </c>
      <c r="I126">
        <v>9</v>
      </c>
      <c r="J126">
        <v>29142</v>
      </c>
      <c r="K126">
        <v>15</v>
      </c>
      <c r="L126">
        <v>262278</v>
      </c>
      <c r="M126">
        <v>39341.699999999997</v>
      </c>
      <c r="N126">
        <v>222936.3</v>
      </c>
    </row>
    <row r="127" spans="1:14" x14ac:dyDescent="0.25">
      <c r="A127">
        <v>10126</v>
      </c>
      <c r="B127" s="4">
        <v>45052</v>
      </c>
      <c r="C127" t="s">
        <v>13</v>
      </c>
      <c r="D127" t="s">
        <v>22</v>
      </c>
      <c r="E127" t="s">
        <v>32</v>
      </c>
      <c r="F127" t="s">
        <v>24</v>
      </c>
      <c r="G127">
        <v>30</v>
      </c>
      <c r="H127" t="str">
        <f t="shared" si="1"/>
        <v>25-34</v>
      </c>
      <c r="I127">
        <v>3</v>
      </c>
      <c r="J127">
        <v>31059</v>
      </c>
      <c r="K127">
        <v>10</v>
      </c>
      <c r="L127">
        <v>93177</v>
      </c>
      <c r="M127">
        <v>9317.7000000000007</v>
      </c>
      <c r="N127">
        <v>83859.3</v>
      </c>
    </row>
    <row r="128" spans="1:14" x14ac:dyDescent="0.25">
      <c r="A128">
        <v>10127</v>
      </c>
      <c r="B128" s="4">
        <v>45053</v>
      </c>
      <c r="C128" t="s">
        <v>17</v>
      </c>
      <c r="D128" t="s">
        <v>29</v>
      </c>
      <c r="E128" t="s">
        <v>15</v>
      </c>
      <c r="F128" t="s">
        <v>31</v>
      </c>
      <c r="G128">
        <v>46</v>
      </c>
      <c r="H128" t="str">
        <f t="shared" si="1"/>
        <v>45-54</v>
      </c>
      <c r="I128">
        <v>6</v>
      </c>
      <c r="J128">
        <v>4624</v>
      </c>
      <c r="K128">
        <v>20</v>
      </c>
      <c r="L128">
        <v>27744</v>
      </c>
      <c r="M128">
        <v>5548.8</v>
      </c>
      <c r="N128">
        <v>22195.200000000001</v>
      </c>
    </row>
    <row r="129" spans="1:14" x14ac:dyDescent="0.25">
      <c r="A129">
        <v>10128</v>
      </c>
      <c r="B129" s="4">
        <v>45054</v>
      </c>
      <c r="C129" t="s">
        <v>21</v>
      </c>
      <c r="D129" t="s">
        <v>14</v>
      </c>
      <c r="E129" t="s">
        <v>19</v>
      </c>
      <c r="F129" t="s">
        <v>20</v>
      </c>
      <c r="G129">
        <v>44</v>
      </c>
      <c r="H129" t="str">
        <f t="shared" si="1"/>
        <v>35-44</v>
      </c>
      <c r="I129">
        <v>1</v>
      </c>
      <c r="J129">
        <v>43543</v>
      </c>
      <c r="K129">
        <v>10</v>
      </c>
      <c r="L129">
        <v>43543</v>
      </c>
      <c r="M129">
        <v>4354.3</v>
      </c>
      <c r="N129">
        <v>39188.699999999997</v>
      </c>
    </row>
    <row r="130" spans="1:14" x14ac:dyDescent="0.25">
      <c r="A130">
        <v>10129</v>
      </c>
      <c r="B130" s="4">
        <v>45055</v>
      </c>
      <c r="C130" t="s">
        <v>21</v>
      </c>
      <c r="D130" t="s">
        <v>27</v>
      </c>
      <c r="E130" t="s">
        <v>15</v>
      </c>
      <c r="F130" t="s">
        <v>30</v>
      </c>
      <c r="G130">
        <v>42</v>
      </c>
      <c r="H130" t="str">
        <f t="shared" si="1"/>
        <v>35-44</v>
      </c>
      <c r="I130">
        <v>7</v>
      </c>
      <c r="J130">
        <v>6008</v>
      </c>
      <c r="K130">
        <v>10</v>
      </c>
      <c r="L130">
        <v>42056</v>
      </c>
      <c r="M130">
        <v>4205.6000000000004</v>
      </c>
      <c r="N130">
        <v>37850.400000000001</v>
      </c>
    </row>
    <row r="131" spans="1:14" x14ac:dyDescent="0.25">
      <c r="A131">
        <v>10130</v>
      </c>
      <c r="B131" s="4">
        <v>45056</v>
      </c>
      <c r="C131" t="s">
        <v>13</v>
      </c>
      <c r="D131" t="s">
        <v>14</v>
      </c>
      <c r="E131" t="s">
        <v>15</v>
      </c>
      <c r="F131" t="s">
        <v>31</v>
      </c>
      <c r="G131">
        <v>50</v>
      </c>
      <c r="H131" t="str">
        <f t="shared" ref="H131:H194" si="2">IF(G131&lt;25,"18-24",IF(G131&lt;35,"25-34",IF(G131&lt;45,"35-44",IF(G131&lt;55,"45-54","55+"))))</f>
        <v>45-54</v>
      </c>
      <c r="I131">
        <v>3</v>
      </c>
      <c r="J131">
        <v>26982</v>
      </c>
      <c r="K131">
        <v>10</v>
      </c>
      <c r="L131">
        <v>80946</v>
      </c>
      <c r="M131">
        <v>8094.6</v>
      </c>
      <c r="N131">
        <v>72851.399999999994</v>
      </c>
    </row>
    <row r="132" spans="1:14" x14ac:dyDescent="0.25">
      <c r="A132">
        <v>10131</v>
      </c>
      <c r="B132" s="4">
        <v>45057</v>
      </c>
      <c r="C132" t="s">
        <v>13</v>
      </c>
      <c r="D132" t="s">
        <v>22</v>
      </c>
      <c r="E132" t="s">
        <v>32</v>
      </c>
      <c r="F132" t="s">
        <v>16</v>
      </c>
      <c r="G132">
        <v>61</v>
      </c>
      <c r="H132" t="str">
        <f t="shared" si="2"/>
        <v>55+</v>
      </c>
      <c r="I132">
        <v>8</v>
      </c>
      <c r="J132">
        <v>11282</v>
      </c>
      <c r="K132">
        <v>0</v>
      </c>
      <c r="L132">
        <v>90256</v>
      </c>
      <c r="M132">
        <v>0</v>
      </c>
      <c r="N132">
        <v>90256</v>
      </c>
    </row>
    <row r="133" spans="1:14" x14ac:dyDescent="0.25">
      <c r="A133">
        <v>10132</v>
      </c>
      <c r="B133" s="4">
        <v>45058</v>
      </c>
      <c r="C133" t="s">
        <v>33</v>
      </c>
      <c r="D133" t="s">
        <v>27</v>
      </c>
      <c r="E133" t="s">
        <v>15</v>
      </c>
      <c r="F133" t="s">
        <v>16</v>
      </c>
      <c r="G133">
        <v>43</v>
      </c>
      <c r="H133" t="str">
        <f t="shared" si="2"/>
        <v>35-44</v>
      </c>
      <c r="I133">
        <v>6</v>
      </c>
      <c r="J133">
        <v>7905</v>
      </c>
      <c r="K133">
        <v>5</v>
      </c>
      <c r="L133">
        <v>47430</v>
      </c>
      <c r="M133">
        <v>2371.5</v>
      </c>
      <c r="N133">
        <v>45058.5</v>
      </c>
    </row>
    <row r="134" spans="1:14" x14ac:dyDescent="0.25">
      <c r="A134">
        <v>10133</v>
      </c>
      <c r="B134" s="4">
        <v>45059</v>
      </c>
      <c r="C134" t="s">
        <v>21</v>
      </c>
      <c r="D134" t="s">
        <v>27</v>
      </c>
      <c r="E134" t="s">
        <v>15</v>
      </c>
      <c r="F134" t="s">
        <v>30</v>
      </c>
      <c r="G134">
        <v>52</v>
      </c>
      <c r="H134" t="str">
        <f t="shared" si="2"/>
        <v>45-54</v>
      </c>
      <c r="I134">
        <v>4</v>
      </c>
      <c r="J134">
        <v>13019</v>
      </c>
      <c r="K134">
        <v>15</v>
      </c>
      <c r="L134">
        <v>52076</v>
      </c>
      <c r="M134">
        <v>7811.4</v>
      </c>
      <c r="N134">
        <v>44264.6</v>
      </c>
    </row>
    <row r="135" spans="1:14" x14ac:dyDescent="0.25">
      <c r="A135">
        <v>10134</v>
      </c>
      <c r="B135" s="4">
        <v>45060</v>
      </c>
      <c r="C135" t="s">
        <v>13</v>
      </c>
      <c r="D135" t="s">
        <v>27</v>
      </c>
      <c r="E135" t="s">
        <v>15</v>
      </c>
      <c r="F135" t="s">
        <v>30</v>
      </c>
      <c r="G135">
        <v>31</v>
      </c>
      <c r="H135" t="str">
        <f t="shared" si="2"/>
        <v>25-34</v>
      </c>
      <c r="I135">
        <v>7</v>
      </c>
      <c r="J135">
        <v>10318</v>
      </c>
      <c r="K135">
        <v>20</v>
      </c>
      <c r="L135">
        <v>72226</v>
      </c>
      <c r="M135">
        <v>14445.2</v>
      </c>
      <c r="N135">
        <v>57780.800000000003</v>
      </c>
    </row>
    <row r="136" spans="1:14" x14ac:dyDescent="0.25">
      <c r="A136">
        <v>10135</v>
      </c>
      <c r="B136" s="4">
        <v>45061</v>
      </c>
      <c r="C136" t="s">
        <v>33</v>
      </c>
      <c r="D136" t="s">
        <v>29</v>
      </c>
      <c r="E136" t="s">
        <v>32</v>
      </c>
      <c r="F136" t="s">
        <v>30</v>
      </c>
      <c r="G136">
        <v>23</v>
      </c>
      <c r="H136" t="str">
        <f t="shared" si="2"/>
        <v>18-24</v>
      </c>
      <c r="I136">
        <v>5</v>
      </c>
      <c r="J136">
        <v>25648</v>
      </c>
      <c r="K136">
        <v>10</v>
      </c>
      <c r="L136">
        <v>128240</v>
      </c>
      <c r="M136">
        <v>12824</v>
      </c>
      <c r="N136">
        <v>115416</v>
      </c>
    </row>
    <row r="137" spans="1:14" x14ac:dyDescent="0.25">
      <c r="A137">
        <v>10136</v>
      </c>
      <c r="B137" s="4">
        <v>45062</v>
      </c>
      <c r="C137" t="s">
        <v>33</v>
      </c>
      <c r="D137" t="s">
        <v>22</v>
      </c>
      <c r="E137" t="s">
        <v>25</v>
      </c>
      <c r="F137" t="s">
        <v>24</v>
      </c>
      <c r="G137">
        <v>64</v>
      </c>
      <c r="H137" t="str">
        <f t="shared" si="2"/>
        <v>55+</v>
      </c>
      <c r="I137">
        <v>4</v>
      </c>
      <c r="J137">
        <v>36554</v>
      </c>
      <c r="K137">
        <v>10</v>
      </c>
      <c r="L137">
        <v>146216</v>
      </c>
      <c r="M137">
        <v>14621.6</v>
      </c>
      <c r="N137">
        <v>131594.4</v>
      </c>
    </row>
    <row r="138" spans="1:14" x14ac:dyDescent="0.25">
      <c r="A138">
        <v>10137</v>
      </c>
      <c r="B138" s="4">
        <v>45063</v>
      </c>
      <c r="C138" t="s">
        <v>21</v>
      </c>
      <c r="D138" t="s">
        <v>27</v>
      </c>
      <c r="E138" t="s">
        <v>32</v>
      </c>
      <c r="F138" t="s">
        <v>20</v>
      </c>
      <c r="G138">
        <v>55</v>
      </c>
      <c r="H138" t="str">
        <f t="shared" si="2"/>
        <v>55+</v>
      </c>
      <c r="I138">
        <v>2</v>
      </c>
      <c r="J138">
        <v>22920</v>
      </c>
      <c r="K138">
        <v>0</v>
      </c>
      <c r="L138">
        <v>45840</v>
      </c>
      <c r="M138">
        <v>0</v>
      </c>
      <c r="N138">
        <v>45840</v>
      </c>
    </row>
    <row r="139" spans="1:14" x14ac:dyDescent="0.25">
      <c r="A139">
        <v>10138</v>
      </c>
      <c r="B139" s="4">
        <v>45064</v>
      </c>
      <c r="C139" t="s">
        <v>17</v>
      </c>
      <c r="D139" t="s">
        <v>27</v>
      </c>
      <c r="E139" t="s">
        <v>25</v>
      </c>
      <c r="F139" t="s">
        <v>23</v>
      </c>
      <c r="G139">
        <v>18</v>
      </c>
      <c r="H139" t="str">
        <f t="shared" si="2"/>
        <v>18-24</v>
      </c>
      <c r="I139">
        <v>4</v>
      </c>
      <c r="J139">
        <v>5777</v>
      </c>
      <c r="K139">
        <v>15</v>
      </c>
      <c r="L139">
        <v>23108</v>
      </c>
      <c r="M139">
        <v>3466.2</v>
      </c>
      <c r="N139">
        <v>19641.8</v>
      </c>
    </row>
    <row r="140" spans="1:14" x14ac:dyDescent="0.25">
      <c r="A140">
        <v>10139</v>
      </c>
      <c r="B140" s="4">
        <v>45065</v>
      </c>
      <c r="C140" t="s">
        <v>13</v>
      </c>
      <c r="D140" t="s">
        <v>18</v>
      </c>
      <c r="E140" t="s">
        <v>32</v>
      </c>
      <c r="F140" t="s">
        <v>26</v>
      </c>
      <c r="G140">
        <v>28</v>
      </c>
      <c r="H140" t="str">
        <f t="shared" si="2"/>
        <v>25-34</v>
      </c>
      <c r="I140">
        <v>5</v>
      </c>
      <c r="J140">
        <v>8306</v>
      </c>
      <c r="K140">
        <v>10</v>
      </c>
      <c r="L140">
        <v>41530</v>
      </c>
      <c r="M140">
        <v>4153</v>
      </c>
      <c r="N140">
        <v>37377</v>
      </c>
    </row>
    <row r="141" spans="1:14" x14ac:dyDescent="0.25">
      <c r="A141">
        <v>10140</v>
      </c>
      <c r="B141" s="4">
        <v>45066</v>
      </c>
      <c r="C141" t="s">
        <v>17</v>
      </c>
      <c r="D141" t="s">
        <v>22</v>
      </c>
      <c r="E141" t="s">
        <v>15</v>
      </c>
      <c r="F141" t="s">
        <v>16</v>
      </c>
      <c r="G141">
        <v>51</v>
      </c>
      <c r="H141" t="str">
        <f t="shared" si="2"/>
        <v>45-54</v>
      </c>
      <c r="I141">
        <v>2</v>
      </c>
      <c r="J141">
        <v>19836</v>
      </c>
      <c r="K141">
        <v>0</v>
      </c>
      <c r="L141">
        <v>39672</v>
      </c>
      <c r="M141">
        <v>0</v>
      </c>
      <c r="N141">
        <v>39672</v>
      </c>
    </row>
    <row r="142" spans="1:14" x14ac:dyDescent="0.25">
      <c r="A142">
        <v>10141</v>
      </c>
      <c r="B142" s="4">
        <v>45067</v>
      </c>
      <c r="C142" t="s">
        <v>17</v>
      </c>
      <c r="D142" t="s">
        <v>22</v>
      </c>
      <c r="E142" t="s">
        <v>19</v>
      </c>
      <c r="F142" t="s">
        <v>28</v>
      </c>
      <c r="G142">
        <v>19</v>
      </c>
      <c r="H142" t="str">
        <f t="shared" si="2"/>
        <v>18-24</v>
      </c>
      <c r="I142">
        <v>4</v>
      </c>
      <c r="J142">
        <v>7736</v>
      </c>
      <c r="K142">
        <v>20</v>
      </c>
      <c r="L142">
        <v>30944</v>
      </c>
      <c r="M142">
        <v>6188.8</v>
      </c>
      <c r="N142">
        <v>24755.200000000001</v>
      </c>
    </row>
    <row r="143" spans="1:14" x14ac:dyDescent="0.25">
      <c r="A143">
        <v>10142</v>
      </c>
      <c r="B143" s="4">
        <v>45068</v>
      </c>
      <c r="C143" t="s">
        <v>13</v>
      </c>
      <c r="D143" t="s">
        <v>14</v>
      </c>
      <c r="E143" t="s">
        <v>19</v>
      </c>
      <c r="F143" t="s">
        <v>26</v>
      </c>
      <c r="G143">
        <v>26</v>
      </c>
      <c r="H143" t="str">
        <f t="shared" si="2"/>
        <v>25-34</v>
      </c>
      <c r="I143">
        <v>9</v>
      </c>
      <c r="J143">
        <v>7979</v>
      </c>
      <c r="K143">
        <v>5</v>
      </c>
      <c r="L143">
        <v>71811</v>
      </c>
      <c r="M143">
        <v>3590.55</v>
      </c>
      <c r="N143">
        <v>68220.45</v>
      </c>
    </row>
    <row r="144" spans="1:14" x14ac:dyDescent="0.25">
      <c r="A144">
        <v>10143</v>
      </c>
      <c r="B144" s="4">
        <v>45069</v>
      </c>
      <c r="C144" t="s">
        <v>21</v>
      </c>
      <c r="D144" t="s">
        <v>22</v>
      </c>
      <c r="E144" t="s">
        <v>25</v>
      </c>
      <c r="F144" t="s">
        <v>28</v>
      </c>
      <c r="G144">
        <v>45</v>
      </c>
      <c r="H144" t="str">
        <f t="shared" si="2"/>
        <v>45-54</v>
      </c>
      <c r="I144">
        <v>1</v>
      </c>
      <c r="J144">
        <v>31106</v>
      </c>
      <c r="K144">
        <v>15</v>
      </c>
      <c r="L144">
        <v>31106</v>
      </c>
      <c r="M144">
        <v>4665.8999999999996</v>
      </c>
      <c r="N144">
        <v>26440.1</v>
      </c>
    </row>
    <row r="145" spans="1:14" x14ac:dyDescent="0.25">
      <c r="A145">
        <v>10144</v>
      </c>
      <c r="B145" s="4">
        <v>45070</v>
      </c>
      <c r="C145" t="s">
        <v>17</v>
      </c>
      <c r="D145" t="s">
        <v>14</v>
      </c>
      <c r="E145" t="s">
        <v>32</v>
      </c>
      <c r="F145" t="s">
        <v>23</v>
      </c>
      <c r="G145">
        <v>39</v>
      </c>
      <c r="H145" t="str">
        <f t="shared" si="2"/>
        <v>35-44</v>
      </c>
      <c r="I145">
        <v>4</v>
      </c>
      <c r="J145">
        <v>3137</v>
      </c>
      <c r="K145">
        <v>5</v>
      </c>
      <c r="L145">
        <v>12548</v>
      </c>
      <c r="M145">
        <v>627.4</v>
      </c>
      <c r="N145">
        <v>11920.6</v>
      </c>
    </row>
    <row r="146" spans="1:14" x14ac:dyDescent="0.25">
      <c r="A146">
        <v>10145</v>
      </c>
      <c r="B146" s="4">
        <v>45071</v>
      </c>
      <c r="C146" t="s">
        <v>21</v>
      </c>
      <c r="D146" t="s">
        <v>22</v>
      </c>
      <c r="E146" t="s">
        <v>25</v>
      </c>
      <c r="F146" t="s">
        <v>24</v>
      </c>
      <c r="G146">
        <v>40</v>
      </c>
      <c r="H146" t="str">
        <f t="shared" si="2"/>
        <v>35-44</v>
      </c>
      <c r="I146">
        <v>5</v>
      </c>
      <c r="J146">
        <v>12355</v>
      </c>
      <c r="K146">
        <v>20</v>
      </c>
      <c r="L146">
        <v>61775</v>
      </c>
      <c r="M146">
        <v>12355</v>
      </c>
      <c r="N146">
        <v>49420</v>
      </c>
    </row>
    <row r="147" spans="1:14" x14ac:dyDescent="0.25">
      <c r="A147">
        <v>10146</v>
      </c>
      <c r="B147" s="4">
        <v>45072</v>
      </c>
      <c r="C147" t="s">
        <v>17</v>
      </c>
      <c r="D147" t="s">
        <v>27</v>
      </c>
      <c r="E147" t="s">
        <v>15</v>
      </c>
      <c r="F147" t="s">
        <v>26</v>
      </c>
      <c r="G147">
        <v>55</v>
      </c>
      <c r="H147" t="str">
        <f t="shared" si="2"/>
        <v>55+</v>
      </c>
      <c r="I147">
        <v>7</v>
      </c>
      <c r="J147">
        <v>35183</v>
      </c>
      <c r="K147">
        <v>15</v>
      </c>
      <c r="L147">
        <v>246281</v>
      </c>
      <c r="M147">
        <v>36942.15</v>
      </c>
      <c r="N147">
        <v>209338.85</v>
      </c>
    </row>
    <row r="148" spans="1:14" x14ac:dyDescent="0.25">
      <c r="A148">
        <v>10147</v>
      </c>
      <c r="B148" s="4">
        <v>45073</v>
      </c>
      <c r="C148" t="s">
        <v>21</v>
      </c>
      <c r="D148" t="s">
        <v>22</v>
      </c>
      <c r="E148" t="s">
        <v>32</v>
      </c>
      <c r="F148" t="s">
        <v>26</v>
      </c>
      <c r="G148">
        <v>26</v>
      </c>
      <c r="H148" t="str">
        <f t="shared" si="2"/>
        <v>25-34</v>
      </c>
      <c r="I148">
        <v>9</v>
      </c>
      <c r="J148">
        <v>23830</v>
      </c>
      <c r="K148">
        <v>0</v>
      </c>
      <c r="L148">
        <v>214470</v>
      </c>
      <c r="M148">
        <v>0</v>
      </c>
      <c r="N148">
        <v>214470</v>
      </c>
    </row>
    <row r="149" spans="1:14" x14ac:dyDescent="0.25">
      <c r="A149">
        <v>10148</v>
      </c>
      <c r="B149" s="4">
        <v>45074</v>
      </c>
      <c r="C149" t="s">
        <v>33</v>
      </c>
      <c r="D149" t="s">
        <v>14</v>
      </c>
      <c r="E149" t="s">
        <v>15</v>
      </c>
      <c r="F149" t="s">
        <v>20</v>
      </c>
      <c r="G149">
        <v>28</v>
      </c>
      <c r="H149" t="str">
        <f t="shared" si="2"/>
        <v>25-34</v>
      </c>
      <c r="I149">
        <v>6</v>
      </c>
      <c r="J149">
        <v>21164</v>
      </c>
      <c r="K149">
        <v>5</v>
      </c>
      <c r="L149">
        <v>126984</v>
      </c>
      <c r="M149">
        <v>6349.2</v>
      </c>
      <c r="N149">
        <v>120634.8</v>
      </c>
    </row>
    <row r="150" spans="1:14" x14ac:dyDescent="0.25">
      <c r="A150">
        <v>10149</v>
      </c>
      <c r="B150" s="4">
        <v>45075</v>
      </c>
      <c r="C150" t="s">
        <v>21</v>
      </c>
      <c r="D150" t="s">
        <v>29</v>
      </c>
      <c r="E150" t="s">
        <v>25</v>
      </c>
      <c r="F150" t="s">
        <v>24</v>
      </c>
      <c r="G150">
        <v>46</v>
      </c>
      <c r="H150" t="str">
        <f t="shared" si="2"/>
        <v>45-54</v>
      </c>
      <c r="I150">
        <v>9</v>
      </c>
      <c r="J150">
        <v>24872</v>
      </c>
      <c r="K150">
        <v>5</v>
      </c>
      <c r="L150">
        <v>223848</v>
      </c>
      <c r="M150">
        <v>11192.4</v>
      </c>
      <c r="N150">
        <v>212655.6</v>
      </c>
    </row>
    <row r="151" spans="1:14" x14ac:dyDescent="0.25">
      <c r="A151">
        <v>10150</v>
      </c>
      <c r="B151" s="4">
        <v>45076</v>
      </c>
      <c r="C151" t="s">
        <v>17</v>
      </c>
      <c r="D151" t="s">
        <v>14</v>
      </c>
      <c r="E151" t="s">
        <v>15</v>
      </c>
      <c r="F151" t="s">
        <v>30</v>
      </c>
      <c r="G151">
        <v>32</v>
      </c>
      <c r="H151" t="str">
        <f t="shared" si="2"/>
        <v>25-34</v>
      </c>
      <c r="I151">
        <v>5</v>
      </c>
      <c r="J151">
        <v>24398</v>
      </c>
      <c r="K151">
        <v>5</v>
      </c>
      <c r="L151">
        <v>121990</v>
      </c>
      <c r="M151">
        <v>6099.5</v>
      </c>
      <c r="N151">
        <v>115890.5</v>
      </c>
    </row>
    <row r="152" spans="1:14" x14ac:dyDescent="0.25">
      <c r="A152">
        <v>10151</v>
      </c>
      <c r="B152" s="4">
        <v>45077</v>
      </c>
      <c r="C152" t="s">
        <v>17</v>
      </c>
      <c r="D152" t="s">
        <v>14</v>
      </c>
      <c r="E152" t="s">
        <v>19</v>
      </c>
      <c r="F152" t="s">
        <v>24</v>
      </c>
      <c r="G152">
        <v>32</v>
      </c>
      <c r="H152" t="str">
        <f t="shared" si="2"/>
        <v>25-34</v>
      </c>
      <c r="I152">
        <v>4</v>
      </c>
      <c r="J152">
        <v>36531</v>
      </c>
      <c r="K152">
        <v>0</v>
      </c>
      <c r="L152">
        <v>146124</v>
      </c>
      <c r="M152">
        <v>0</v>
      </c>
      <c r="N152">
        <v>146124</v>
      </c>
    </row>
    <row r="153" spans="1:14" x14ac:dyDescent="0.25">
      <c r="A153">
        <v>10152</v>
      </c>
      <c r="B153" s="4">
        <v>45078</v>
      </c>
      <c r="C153" t="s">
        <v>13</v>
      </c>
      <c r="D153" t="s">
        <v>14</v>
      </c>
      <c r="E153" t="s">
        <v>25</v>
      </c>
      <c r="F153" t="s">
        <v>31</v>
      </c>
      <c r="G153">
        <v>42</v>
      </c>
      <c r="H153" t="str">
        <f t="shared" si="2"/>
        <v>35-44</v>
      </c>
      <c r="I153">
        <v>3</v>
      </c>
      <c r="J153">
        <v>21218</v>
      </c>
      <c r="K153">
        <v>10</v>
      </c>
      <c r="L153">
        <v>63654</v>
      </c>
      <c r="M153">
        <v>6365.4</v>
      </c>
      <c r="N153">
        <v>57288.6</v>
      </c>
    </row>
    <row r="154" spans="1:14" x14ac:dyDescent="0.25">
      <c r="A154">
        <v>10153</v>
      </c>
      <c r="B154" s="4">
        <v>45079</v>
      </c>
      <c r="C154" t="s">
        <v>21</v>
      </c>
      <c r="D154" t="s">
        <v>27</v>
      </c>
      <c r="E154" t="s">
        <v>19</v>
      </c>
      <c r="F154" t="s">
        <v>16</v>
      </c>
      <c r="G154">
        <v>63</v>
      </c>
      <c r="H154" t="str">
        <f t="shared" si="2"/>
        <v>55+</v>
      </c>
      <c r="I154">
        <v>7</v>
      </c>
      <c r="J154">
        <v>22690</v>
      </c>
      <c r="K154">
        <v>20</v>
      </c>
      <c r="L154">
        <v>158830</v>
      </c>
      <c r="M154">
        <v>31766</v>
      </c>
      <c r="N154">
        <v>127064</v>
      </c>
    </row>
    <row r="155" spans="1:14" x14ac:dyDescent="0.25">
      <c r="A155">
        <v>10154</v>
      </c>
      <c r="B155" s="4">
        <v>45080</v>
      </c>
      <c r="C155" t="s">
        <v>13</v>
      </c>
      <c r="D155" t="s">
        <v>29</v>
      </c>
      <c r="E155" t="s">
        <v>25</v>
      </c>
      <c r="F155" t="s">
        <v>24</v>
      </c>
      <c r="G155">
        <v>60</v>
      </c>
      <c r="H155" t="str">
        <f t="shared" si="2"/>
        <v>55+</v>
      </c>
      <c r="I155">
        <v>2</v>
      </c>
      <c r="J155">
        <v>10422</v>
      </c>
      <c r="K155">
        <v>10</v>
      </c>
      <c r="L155">
        <v>20844</v>
      </c>
      <c r="M155">
        <v>2084.4</v>
      </c>
      <c r="N155">
        <v>18759.599999999999</v>
      </c>
    </row>
    <row r="156" spans="1:14" x14ac:dyDescent="0.25">
      <c r="A156">
        <v>10155</v>
      </c>
      <c r="B156" s="4">
        <v>45081</v>
      </c>
      <c r="C156" t="s">
        <v>21</v>
      </c>
      <c r="D156" t="s">
        <v>22</v>
      </c>
      <c r="E156" t="s">
        <v>32</v>
      </c>
      <c r="F156" t="s">
        <v>23</v>
      </c>
      <c r="G156">
        <v>40</v>
      </c>
      <c r="H156" t="str">
        <f t="shared" si="2"/>
        <v>35-44</v>
      </c>
      <c r="I156">
        <v>2</v>
      </c>
      <c r="J156">
        <v>7303</v>
      </c>
      <c r="K156">
        <v>5</v>
      </c>
      <c r="L156">
        <v>14606</v>
      </c>
      <c r="M156">
        <v>730.3</v>
      </c>
      <c r="N156">
        <v>13875.7</v>
      </c>
    </row>
    <row r="157" spans="1:14" x14ac:dyDescent="0.25">
      <c r="A157">
        <v>10156</v>
      </c>
      <c r="B157" s="4">
        <v>45082</v>
      </c>
      <c r="C157" t="s">
        <v>21</v>
      </c>
      <c r="D157" t="s">
        <v>29</v>
      </c>
      <c r="E157" t="s">
        <v>15</v>
      </c>
      <c r="F157" t="s">
        <v>31</v>
      </c>
      <c r="G157">
        <v>48</v>
      </c>
      <c r="H157" t="str">
        <f t="shared" si="2"/>
        <v>45-54</v>
      </c>
      <c r="I157">
        <v>6</v>
      </c>
      <c r="J157">
        <v>45808</v>
      </c>
      <c r="K157">
        <v>5</v>
      </c>
      <c r="L157">
        <v>274848</v>
      </c>
      <c r="M157">
        <v>13742.4</v>
      </c>
      <c r="N157">
        <v>261105.6</v>
      </c>
    </row>
    <row r="158" spans="1:14" x14ac:dyDescent="0.25">
      <c r="A158">
        <v>10157</v>
      </c>
      <c r="B158" s="4">
        <v>45083</v>
      </c>
      <c r="C158" t="s">
        <v>33</v>
      </c>
      <c r="D158" t="s">
        <v>29</v>
      </c>
      <c r="E158" t="s">
        <v>32</v>
      </c>
      <c r="F158" t="s">
        <v>24</v>
      </c>
      <c r="G158">
        <v>37</v>
      </c>
      <c r="H158" t="str">
        <f t="shared" si="2"/>
        <v>35-44</v>
      </c>
      <c r="I158">
        <v>1</v>
      </c>
      <c r="J158">
        <v>21472</v>
      </c>
      <c r="K158">
        <v>0</v>
      </c>
      <c r="L158">
        <v>21472</v>
      </c>
      <c r="M158">
        <v>0</v>
      </c>
      <c r="N158">
        <v>21472</v>
      </c>
    </row>
    <row r="159" spans="1:14" x14ac:dyDescent="0.25">
      <c r="A159">
        <v>10158</v>
      </c>
      <c r="B159" s="4">
        <v>45084</v>
      </c>
      <c r="C159" t="s">
        <v>21</v>
      </c>
      <c r="D159" t="s">
        <v>27</v>
      </c>
      <c r="E159" t="s">
        <v>19</v>
      </c>
      <c r="F159" t="s">
        <v>30</v>
      </c>
      <c r="G159">
        <v>31</v>
      </c>
      <c r="H159" t="str">
        <f t="shared" si="2"/>
        <v>25-34</v>
      </c>
      <c r="I159">
        <v>1</v>
      </c>
      <c r="J159">
        <v>16181</v>
      </c>
      <c r="K159">
        <v>5</v>
      </c>
      <c r="L159">
        <v>16181</v>
      </c>
      <c r="M159">
        <v>809.05</v>
      </c>
      <c r="N159">
        <v>15371.95</v>
      </c>
    </row>
    <row r="160" spans="1:14" x14ac:dyDescent="0.25">
      <c r="A160">
        <v>10159</v>
      </c>
      <c r="B160" s="4">
        <v>45085</v>
      </c>
      <c r="C160" t="s">
        <v>13</v>
      </c>
      <c r="D160" t="s">
        <v>27</v>
      </c>
      <c r="E160" t="s">
        <v>19</v>
      </c>
      <c r="F160" t="s">
        <v>16</v>
      </c>
      <c r="G160">
        <v>25</v>
      </c>
      <c r="H160" t="str">
        <f t="shared" si="2"/>
        <v>25-34</v>
      </c>
      <c r="I160">
        <v>3</v>
      </c>
      <c r="J160">
        <v>16131</v>
      </c>
      <c r="K160">
        <v>10</v>
      </c>
      <c r="L160">
        <v>48393</v>
      </c>
      <c r="M160">
        <v>4839.3</v>
      </c>
      <c r="N160">
        <v>43553.7</v>
      </c>
    </row>
    <row r="161" spans="1:14" x14ac:dyDescent="0.25">
      <c r="A161">
        <v>10160</v>
      </c>
      <c r="B161" s="4">
        <v>45086</v>
      </c>
      <c r="C161" t="s">
        <v>33</v>
      </c>
      <c r="D161" t="s">
        <v>22</v>
      </c>
      <c r="E161" t="s">
        <v>25</v>
      </c>
      <c r="F161" t="s">
        <v>28</v>
      </c>
      <c r="G161">
        <v>59</v>
      </c>
      <c r="H161" t="str">
        <f t="shared" si="2"/>
        <v>55+</v>
      </c>
      <c r="I161">
        <v>9</v>
      </c>
      <c r="J161">
        <v>24746</v>
      </c>
      <c r="K161">
        <v>20</v>
      </c>
      <c r="L161">
        <v>222714</v>
      </c>
      <c r="M161">
        <v>44542.8</v>
      </c>
      <c r="N161">
        <v>178171.2</v>
      </c>
    </row>
    <row r="162" spans="1:14" x14ac:dyDescent="0.25">
      <c r="A162">
        <v>10161</v>
      </c>
      <c r="B162" s="4">
        <v>45087</v>
      </c>
      <c r="C162" t="s">
        <v>17</v>
      </c>
      <c r="D162" t="s">
        <v>29</v>
      </c>
      <c r="E162" t="s">
        <v>25</v>
      </c>
      <c r="F162" t="s">
        <v>28</v>
      </c>
      <c r="G162">
        <v>60</v>
      </c>
      <c r="H162" t="str">
        <f t="shared" si="2"/>
        <v>55+</v>
      </c>
      <c r="I162">
        <v>4</v>
      </c>
      <c r="J162">
        <v>28074</v>
      </c>
      <c r="K162">
        <v>20</v>
      </c>
      <c r="L162">
        <v>112296</v>
      </c>
      <c r="M162">
        <v>22459.200000000001</v>
      </c>
      <c r="N162">
        <v>89836.800000000003</v>
      </c>
    </row>
    <row r="163" spans="1:14" x14ac:dyDescent="0.25">
      <c r="A163">
        <v>10162</v>
      </c>
      <c r="B163" s="4">
        <v>45088</v>
      </c>
      <c r="C163" t="s">
        <v>21</v>
      </c>
      <c r="D163" t="s">
        <v>29</v>
      </c>
      <c r="E163" t="s">
        <v>19</v>
      </c>
      <c r="F163" t="s">
        <v>30</v>
      </c>
      <c r="G163">
        <v>36</v>
      </c>
      <c r="H163" t="str">
        <f t="shared" si="2"/>
        <v>35-44</v>
      </c>
      <c r="I163">
        <v>6</v>
      </c>
      <c r="J163">
        <v>42681</v>
      </c>
      <c r="K163">
        <v>20</v>
      </c>
      <c r="L163">
        <v>256086</v>
      </c>
      <c r="M163">
        <v>51217.2</v>
      </c>
      <c r="N163">
        <v>204868.8</v>
      </c>
    </row>
    <row r="164" spans="1:14" x14ac:dyDescent="0.25">
      <c r="A164">
        <v>10163</v>
      </c>
      <c r="B164" s="4">
        <v>45089</v>
      </c>
      <c r="C164" t="s">
        <v>13</v>
      </c>
      <c r="D164" t="s">
        <v>27</v>
      </c>
      <c r="E164" t="s">
        <v>25</v>
      </c>
      <c r="F164" t="s">
        <v>20</v>
      </c>
      <c r="G164">
        <v>29</v>
      </c>
      <c r="H164" t="str">
        <f t="shared" si="2"/>
        <v>25-34</v>
      </c>
      <c r="I164">
        <v>5</v>
      </c>
      <c r="J164">
        <v>11005</v>
      </c>
      <c r="K164">
        <v>10</v>
      </c>
      <c r="L164">
        <v>55025</v>
      </c>
      <c r="M164">
        <v>5502.5</v>
      </c>
      <c r="N164">
        <v>49522.5</v>
      </c>
    </row>
    <row r="165" spans="1:14" x14ac:dyDescent="0.25">
      <c r="A165">
        <v>10164</v>
      </c>
      <c r="B165" s="4">
        <v>45090</v>
      </c>
      <c r="C165" t="s">
        <v>17</v>
      </c>
      <c r="D165" t="s">
        <v>27</v>
      </c>
      <c r="E165" t="s">
        <v>32</v>
      </c>
      <c r="F165" t="s">
        <v>28</v>
      </c>
      <c r="G165">
        <v>30</v>
      </c>
      <c r="H165" t="str">
        <f t="shared" si="2"/>
        <v>25-34</v>
      </c>
      <c r="I165">
        <v>3</v>
      </c>
      <c r="J165">
        <v>14168</v>
      </c>
      <c r="K165">
        <v>0</v>
      </c>
      <c r="L165">
        <v>42504</v>
      </c>
      <c r="M165">
        <v>0</v>
      </c>
      <c r="N165">
        <v>42504</v>
      </c>
    </row>
    <row r="166" spans="1:14" x14ac:dyDescent="0.25">
      <c r="A166">
        <v>10165</v>
      </c>
      <c r="B166" s="4">
        <v>45091</v>
      </c>
      <c r="C166" t="s">
        <v>13</v>
      </c>
      <c r="D166" t="s">
        <v>29</v>
      </c>
      <c r="E166" t="s">
        <v>25</v>
      </c>
      <c r="F166" t="s">
        <v>31</v>
      </c>
      <c r="G166">
        <v>46</v>
      </c>
      <c r="H166" t="str">
        <f t="shared" si="2"/>
        <v>45-54</v>
      </c>
      <c r="I166">
        <v>9</v>
      </c>
      <c r="J166">
        <v>38140</v>
      </c>
      <c r="K166">
        <v>10</v>
      </c>
      <c r="L166">
        <v>343260</v>
      </c>
      <c r="M166">
        <v>34326</v>
      </c>
      <c r="N166">
        <v>308934</v>
      </c>
    </row>
    <row r="167" spans="1:14" x14ac:dyDescent="0.25">
      <c r="A167">
        <v>10166</v>
      </c>
      <c r="B167" s="4">
        <v>45092</v>
      </c>
      <c r="C167" t="s">
        <v>21</v>
      </c>
      <c r="D167" t="s">
        <v>27</v>
      </c>
      <c r="E167" t="s">
        <v>32</v>
      </c>
      <c r="F167" t="s">
        <v>24</v>
      </c>
      <c r="G167">
        <v>55</v>
      </c>
      <c r="H167" t="str">
        <f t="shared" si="2"/>
        <v>55+</v>
      </c>
      <c r="I167">
        <v>2</v>
      </c>
      <c r="J167">
        <v>47384</v>
      </c>
      <c r="K167">
        <v>5</v>
      </c>
      <c r="L167">
        <v>94768</v>
      </c>
      <c r="M167">
        <v>4738.3999999999996</v>
      </c>
      <c r="N167">
        <v>90029.6</v>
      </c>
    </row>
    <row r="168" spans="1:14" x14ac:dyDescent="0.25">
      <c r="A168">
        <v>10167</v>
      </c>
      <c r="B168" s="4">
        <v>45093</v>
      </c>
      <c r="C168" t="s">
        <v>33</v>
      </c>
      <c r="D168" t="s">
        <v>29</v>
      </c>
      <c r="E168" t="s">
        <v>15</v>
      </c>
      <c r="F168" t="s">
        <v>30</v>
      </c>
      <c r="G168">
        <v>63</v>
      </c>
      <c r="H168" t="str">
        <f t="shared" si="2"/>
        <v>55+</v>
      </c>
      <c r="I168">
        <v>9</v>
      </c>
      <c r="J168">
        <v>16985</v>
      </c>
      <c r="K168">
        <v>0</v>
      </c>
      <c r="L168">
        <v>152865</v>
      </c>
      <c r="M168">
        <v>0</v>
      </c>
      <c r="N168">
        <v>152865</v>
      </c>
    </row>
    <row r="169" spans="1:14" x14ac:dyDescent="0.25">
      <c r="A169">
        <v>10168</v>
      </c>
      <c r="B169" s="4">
        <v>45094</v>
      </c>
      <c r="C169" t="s">
        <v>21</v>
      </c>
      <c r="D169" t="s">
        <v>29</v>
      </c>
      <c r="E169" t="s">
        <v>32</v>
      </c>
      <c r="F169" t="s">
        <v>28</v>
      </c>
      <c r="G169">
        <v>48</v>
      </c>
      <c r="H169" t="str">
        <f t="shared" si="2"/>
        <v>45-54</v>
      </c>
      <c r="I169">
        <v>3</v>
      </c>
      <c r="J169">
        <v>33125</v>
      </c>
      <c r="K169">
        <v>0</v>
      </c>
      <c r="L169">
        <v>99375</v>
      </c>
      <c r="M169">
        <v>0</v>
      </c>
      <c r="N169">
        <v>99375</v>
      </c>
    </row>
    <row r="170" spans="1:14" x14ac:dyDescent="0.25">
      <c r="A170">
        <v>10169</v>
      </c>
      <c r="B170" s="4">
        <v>45095</v>
      </c>
      <c r="C170" t="s">
        <v>21</v>
      </c>
      <c r="D170" t="s">
        <v>29</v>
      </c>
      <c r="E170" t="s">
        <v>19</v>
      </c>
      <c r="F170" t="s">
        <v>23</v>
      </c>
      <c r="G170">
        <v>40</v>
      </c>
      <c r="H170" t="str">
        <f t="shared" si="2"/>
        <v>35-44</v>
      </c>
      <c r="I170">
        <v>1</v>
      </c>
      <c r="J170">
        <v>18109</v>
      </c>
      <c r="K170">
        <v>0</v>
      </c>
      <c r="L170">
        <v>18109</v>
      </c>
      <c r="M170">
        <v>0</v>
      </c>
      <c r="N170">
        <v>18109</v>
      </c>
    </row>
    <row r="171" spans="1:14" x14ac:dyDescent="0.25">
      <c r="A171">
        <v>10170</v>
      </c>
      <c r="B171" s="4">
        <v>45096</v>
      </c>
      <c r="C171" t="s">
        <v>21</v>
      </c>
      <c r="D171" t="s">
        <v>22</v>
      </c>
      <c r="E171" t="s">
        <v>19</v>
      </c>
      <c r="F171" t="s">
        <v>16</v>
      </c>
      <c r="G171">
        <v>30</v>
      </c>
      <c r="H171" t="str">
        <f t="shared" si="2"/>
        <v>25-34</v>
      </c>
      <c r="I171">
        <v>2</v>
      </c>
      <c r="J171">
        <v>48151</v>
      </c>
      <c r="K171">
        <v>20</v>
      </c>
      <c r="L171">
        <v>96302</v>
      </c>
      <c r="M171">
        <v>19260.400000000001</v>
      </c>
      <c r="N171">
        <v>77041.600000000006</v>
      </c>
    </row>
    <row r="172" spans="1:14" x14ac:dyDescent="0.25">
      <c r="A172">
        <v>10171</v>
      </c>
      <c r="B172" s="4">
        <v>45097</v>
      </c>
      <c r="C172" t="s">
        <v>21</v>
      </c>
      <c r="D172" t="s">
        <v>29</v>
      </c>
      <c r="E172" t="s">
        <v>32</v>
      </c>
      <c r="F172" t="s">
        <v>28</v>
      </c>
      <c r="G172">
        <v>43</v>
      </c>
      <c r="H172" t="str">
        <f t="shared" si="2"/>
        <v>35-44</v>
      </c>
      <c r="I172">
        <v>4</v>
      </c>
      <c r="J172">
        <v>16451</v>
      </c>
      <c r="K172">
        <v>0</v>
      </c>
      <c r="L172">
        <v>65804</v>
      </c>
      <c r="M172">
        <v>0</v>
      </c>
      <c r="N172">
        <v>65804</v>
      </c>
    </row>
    <row r="173" spans="1:14" x14ac:dyDescent="0.25">
      <c r="A173">
        <v>10172</v>
      </c>
      <c r="B173" s="4">
        <v>45098</v>
      </c>
      <c r="C173" t="s">
        <v>13</v>
      </c>
      <c r="D173" t="s">
        <v>18</v>
      </c>
      <c r="E173" t="s">
        <v>15</v>
      </c>
      <c r="F173" t="s">
        <v>26</v>
      </c>
      <c r="G173">
        <v>56</v>
      </c>
      <c r="H173" t="str">
        <f t="shared" si="2"/>
        <v>55+</v>
      </c>
      <c r="I173">
        <v>4</v>
      </c>
      <c r="J173">
        <v>39586</v>
      </c>
      <c r="K173">
        <v>0</v>
      </c>
      <c r="L173">
        <v>158344</v>
      </c>
      <c r="M173">
        <v>0</v>
      </c>
      <c r="N173">
        <v>158344</v>
      </c>
    </row>
    <row r="174" spans="1:14" x14ac:dyDescent="0.25">
      <c r="A174">
        <v>10173</v>
      </c>
      <c r="B174" s="4">
        <v>45099</v>
      </c>
      <c r="C174" t="s">
        <v>33</v>
      </c>
      <c r="D174" t="s">
        <v>14</v>
      </c>
      <c r="E174" t="s">
        <v>25</v>
      </c>
      <c r="F174" t="s">
        <v>28</v>
      </c>
      <c r="G174">
        <v>40</v>
      </c>
      <c r="H174" t="str">
        <f t="shared" si="2"/>
        <v>35-44</v>
      </c>
      <c r="I174">
        <v>7</v>
      </c>
      <c r="J174">
        <v>25101</v>
      </c>
      <c r="K174">
        <v>20</v>
      </c>
      <c r="L174">
        <v>175707</v>
      </c>
      <c r="M174">
        <v>35141.4</v>
      </c>
      <c r="N174">
        <v>140565.6</v>
      </c>
    </row>
    <row r="175" spans="1:14" x14ac:dyDescent="0.25">
      <c r="A175">
        <v>10174</v>
      </c>
      <c r="B175" s="4">
        <v>45100</v>
      </c>
      <c r="C175" t="s">
        <v>21</v>
      </c>
      <c r="D175" t="s">
        <v>22</v>
      </c>
      <c r="E175" t="s">
        <v>25</v>
      </c>
      <c r="F175" t="s">
        <v>28</v>
      </c>
      <c r="G175">
        <v>29</v>
      </c>
      <c r="H175" t="str">
        <f t="shared" si="2"/>
        <v>25-34</v>
      </c>
      <c r="I175">
        <v>8</v>
      </c>
      <c r="J175">
        <v>49703</v>
      </c>
      <c r="K175">
        <v>10</v>
      </c>
      <c r="L175">
        <v>397624</v>
      </c>
      <c r="M175">
        <v>39762.400000000001</v>
      </c>
      <c r="N175">
        <v>357861.6</v>
      </c>
    </row>
    <row r="176" spans="1:14" x14ac:dyDescent="0.25">
      <c r="A176">
        <v>10175</v>
      </c>
      <c r="B176" s="4">
        <v>45101</v>
      </c>
      <c r="C176" t="s">
        <v>13</v>
      </c>
      <c r="D176" t="s">
        <v>14</v>
      </c>
      <c r="E176" t="s">
        <v>19</v>
      </c>
      <c r="F176" t="s">
        <v>31</v>
      </c>
      <c r="G176">
        <v>37</v>
      </c>
      <c r="H176" t="str">
        <f t="shared" si="2"/>
        <v>35-44</v>
      </c>
      <c r="I176">
        <v>1</v>
      </c>
      <c r="J176">
        <v>42790</v>
      </c>
      <c r="K176">
        <v>10</v>
      </c>
      <c r="L176">
        <v>42790</v>
      </c>
      <c r="M176">
        <v>4279</v>
      </c>
      <c r="N176">
        <v>38511</v>
      </c>
    </row>
    <row r="177" spans="1:14" x14ac:dyDescent="0.25">
      <c r="A177">
        <v>10176</v>
      </c>
      <c r="B177" s="4">
        <v>45102</v>
      </c>
      <c r="C177" t="s">
        <v>21</v>
      </c>
      <c r="D177" t="s">
        <v>18</v>
      </c>
      <c r="E177" t="s">
        <v>25</v>
      </c>
      <c r="F177" t="s">
        <v>30</v>
      </c>
      <c r="G177">
        <v>62</v>
      </c>
      <c r="H177" t="str">
        <f t="shared" si="2"/>
        <v>55+</v>
      </c>
      <c r="I177">
        <v>3</v>
      </c>
      <c r="J177">
        <v>46990</v>
      </c>
      <c r="K177">
        <v>0</v>
      </c>
      <c r="L177">
        <v>140970</v>
      </c>
      <c r="M177">
        <v>0</v>
      </c>
      <c r="N177">
        <v>140970</v>
      </c>
    </row>
    <row r="178" spans="1:14" x14ac:dyDescent="0.25">
      <c r="A178">
        <v>10177</v>
      </c>
      <c r="B178" s="4">
        <v>45103</v>
      </c>
      <c r="C178" t="s">
        <v>33</v>
      </c>
      <c r="D178" t="s">
        <v>18</v>
      </c>
      <c r="E178" t="s">
        <v>32</v>
      </c>
      <c r="F178" t="s">
        <v>26</v>
      </c>
      <c r="G178">
        <v>42</v>
      </c>
      <c r="H178" t="str">
        <f t="shared" si="2"/>
        <v>35-44</v>
      </c>
      <c r="I178">
        <v>1</v>
      </c>
      <c r="J178">
        <v>37146</v>
      </c>
      <c r="K178">
        <v>10</v>
      </c>
      <c r="L178">
        <v>37146</v>
      </c>
      <c r="M178">
        <v>3714.6</v>
      </c>
      <c r="N178">
        <v>33431.4</v>
      </c>
    </row>
    <row r="179" spans="1:14" x14ac:dyDescent="0.25">
      <c r="A179">
        <v>10178</v>
      </c>
      <c r="B179" s="4">
        <v>45104</v>
      </c>
      <c r="C179" t="s">
        <v>17</v>
      </c>
      <c r="D179" t="s">
        <v>22</v>
      </c>
      <c r="E179" t="s">
        <v>25</v>
      </c>
      <c r="F179" t="s">
        <v>26</v>
      </c>
      <c r="G179">
        <v>28</v>
      </c>
      <c r="H179" t="str">
        <f t="shared" si="2"/>
        <v>25-34</v>
      </c>
      <c r="I179">
        <v>8</v>
      </c>
      <c r="J179">
        <v>23114</v>
      </c>
      <c r="K179">
        <v>15</v>
      </c>
      <c r="L179">
        <v>184912</v>
      </c>
      <c r="M179">
        <v>27736.799999999999</v>
      </c>
      <c r="N179">
        <v>157175.20000000001</v>
      </c>
    </row>
    <row r="180" spans="1:14" x14ac:dyDescent="0.25">
      <c r="A180">
        <v>10179</v>
      </c>
      <c r="B180" s="4">
        <v>45105</v>
      </c>
      <c r="C180" t="s">
        <v>13</v>
      </c>
      <c r="D180" t="s">
        <v>18</v>
      </c>
      <c r="E180" t="s">
        <v>15</v>
      </c>
      <c r="F180" t="s">
        <v>30</v>
      </c>
      <c r="G180">
        <v>45</v>
      </c>
      <c r="H180" t="str">
        <f t="shared" si="2"/>
        <v>45-54</v>
      </c>
      <c r="I180">
        <v>9</v>
      </c>
      <c r="J180">
        <v>13739</v>
      </c>
      <c r="K180">
        <v>10</v>
      </c>
      <c r="L180">
        <v>123651</v>
      </c>
      <c r="M180">
        <v>12365.1</v>
      </c>
      <c r="N180">
        <v>111285.9</v>
      </c>
    </row>
    <row r="181" spans="1:14" x14ac:dyDescent="0.25">
      <c r="A181">
        <v>10180</v>
      </c>
      <c r="B181" s="4">
        <v>45106</v>
      </c>
      <c r="C181" t="s">
        <v>33</v>
      </c>
      <c r="D181" t="s">
        <v>29</v>
      </c>
      <c r="E181" t="s">
        <v>32</v>
      </c>
      <c r="F181" t="s">
        <v>28</v>
      </c>
      <c r="G181">
        <v>44</v>
      </c>
      <c r="H181" t="str">
        <f t="shared" si="2"/>
        <v>35-44</v>
      </c>
      <c r="I181">
        <v>2</v>
      </c>
      <c r="J181">
        <v>17664</v>
      </c>
      <c r="K181">
        <v>10</v>
      </c>
      <c r="L181">
        <v>35328</v>
      </c>
      <c r="M181">
        <v>3532.8</v>
      </c>
      <c r="N181">
        <v>31795.200000000001</v>
      </c>
    </row>
    <row r="182" spans="1:14" x14ac:dyDescent="0.25">
      <c r="A182">
        <v>10181</v>
      </c>
      <c r="B182" s="4">
        <v>45107</v>
      </c>
      <c r="C182" t="s">
        <v>21</v>
      </c>
      <c r="D182" t="s">
        <v>27</v>
      </c>
      <c r="E182" t="s">
        <v>19</v>
      </c>
      <c r="F182" t="s">
        <v>31</v>
      </c>
      <c r="G182">
        <v>58</v>
      </c>
      <c r="H182" t="str">
        <f t="shared" si="2"/>
        <v>55+</v>
      </c>
      <c r="I182">
        <v>7</v>
      </c>
      <c r="J182">
        <v>37323</v>
      </c>
      <c r="K182">
        <v>20</v>
      </c>
      <c r="L182">
        <v>261261</v>
      </c>
      <c r="M182">
        <v>52252.2</v>
      </c>
      <c r="N182">
        <v>209008.8</v>
      </c>
    </row>
    <row r="183" spans="1:14" x14ac:dyDescent="0.25">
      <c r="A183">
        <v>10182</v>
      </c>
      <c r="B183" s="4">
        <v>45108</v>
      </c>
      <c r="C183" t="s">
        <v>21</v>
      </c>
      <c r="D183" t="s">
        <v>29</v>
      </c>
      <c r="E183" t="s">
        <v>19</v>
      </c>
      <c r="F183" t="s">
        <v>23</v>
      </c>
      <c r="G183">
        <v>61</v>
      </c>
      <c r="H183" t="str">
        <f t="shared" si="2"/>
        <v>55+</v>
      </c>
      <c r="I183">
        <v>3</v>
      </c>
      <c r="J183">
        <v>14061</v>
      </c>
      <c r="K183">
        <v>20</v>
      </c>
      <c r="L183">
        <v>42183</v>
      </c>
      <c r="M183">
        <v>8436.6</v>
      </c>
      <c r="N183">
        <v>33746.400000000001</v>
      </c>
    </row>
    <row r="184" spans="1:14" x14ac:dyDescent="0.25">
      <c r="A184">
        <v>10183</v>
      </c>
      <c r="B184" s="4">
        <v>45109</v>
      </c>
      <c r="C184" t="s">
        <v>17</v>
      </c>
      <c r="D184" t="s">
        <v>27</v>
      </c>
      <c r="E184" t="s">
        <v>15</v>
      </c>
      <c r="F184" t="s">
        <v>26</v>
      </c>
      <c r="G184">
        <v>20</v>
      </c>
      <c r="H184" t="str">
        <f t="shared" si="2"/>
        <v>18-24</v>
      </c>
      <c r="I184">
        <v>1</v>
      </c>
      <c r="J184">
        <v>1242</v>
      </c>
      <c r="K184">
        <v>15</v>
      </c>
      <c r="L184">
        <v>1242</v>
      </c>
      <c r="M184">
        <v>186.3</v>
      </c>
      <c r="N184">
        <v>1055.7</v>
      </c>
    </row>
    <row r="185" spans="1:14" x14ac:dyDescent="0.25">
      <c r="A185">
        <v>10184</v>
      </c>
      <c r="B185" s="4">
        <v>45110</v>
      </c>
      <c r="C185" t="s">
        <v>33</v>
      </c>
      <c r="D185" t="s">
        <v>14</v>
      </c>
      <c r="E185" t="s">
        <v>25</v>
      </c>
      <c r="F185" t="s">
        <v>26</v>
      </c>
      <c r="G185">
        <v>26</v>
      </c>
      <c r="H185" t="str">
        <f t="shared" si="2"/>
        <v>25-34</v>
      </c>
      <c r="I185">
        <v>5</v>
      </c>
      <c r="J185">
        <v>1132</v>
      </c>
      <c r="K185">
        <v>15</v>
      </c>
      <c r="L185">
        <v>5660</v>
      </c>
      <c r="M185">
        <v>849</v>
      </c>
      <c r="N185">
        <v>4811</v>
      </c>
    </row>
    <row r="186" spans="1:14" x14ac:dyDescent="0.25">
      <c r="A186">
        <v>10185</v>
      </c>
      <c r="B186" s="4">
        <v>45111</v>
      </c>
      <c r="C186" t="s">
        <v>33</v>
      </c>
      <c r="D186" t="s">
        <v>29</v>
      </c>
      <c r="E186" t="s">
        <v>19</v>
      </c>
      <c r="F186" t="s">
        <v>24</v>
      </c>
      <c r="G186">
        <v>29</v>
      </c>
      <c r="H186" t="str">
        <f t="shared" si="2"/>
        <v>25-34</v>
      </c>
      <c r="I186">
        <v>4</v>
      </c>
      <c r="J186">
        <v>22033</v>
      </c>
      <c r="K186">
        <v>0</v>
      </c>
      <c r="L186">
        <v>88132</v>
      </c>
      <c r="M186">
        <v>0</v>
      </c>
      <c r="N186">
        <v>88132</v>
      </c>
    </row>
    <row r="187" spans="1:14" x14ac:dyDescent="0.25">
      <c r="A187">
        <v>10186</v>
      </c>
      <c r="B187" s="4">
        <v>45112</v>
      </c>
      <c r="C187" t="s">
        <v>33</v>
      </c>
      <c r="D187" t="s">
        <v>27</v>
      </c>
      <c r="E187" t="s">
        <v>25</v>
      </c>
      <c r="F187" t="s">
        <v>23</v>
      </c>
      <c r="G187">
        <v>25</v>
      </c>
      <c r="H187" t="str">
        <f t="shared" si="2"/>
        <v>25-34</v>
      </c>
      <c r="I187">
        <v>7</v>
      </c>
      <c r="J187">
        <v>28256</v>
      </c>
      <c r="K187">
        <v>10</v>
      </c>
      <c r="L187">
        <v>197792</v>
      </c>
      <c r="M187">
        <v>19779.2</v>
      </c>
      <c r="N187">
        <v>178012.79999999999</v>
      </c>
    </row>
    <row r="188" spans="1:14" x14ac:dyDescent="0.25">
      <c r="A188">
        <v>10187</v>
      </c>
      <c r="B188" s="4">
        <v>45113</v>
      </c>
      <c r="C188" t="s">
        <v>21</v>
      </c>
      <c r="D188" t="s">
        <v>18</v>
      </c>
      <c r="E188" t="s">
        <v>15</v>
      </c>
      <c r="F188" t="s">
        <v>23</v>
      </c>
      <c r="G188">
        <v>54</v>
      </c>
      <c r="H188" t="str">
        <f t="shared" si="2"/>
        <v>45-54</v>
      </c>
      <c r="I188">
        <v>1</v>
      </c>
      <c r="J188">
        <v>2908</v>
      </c>
      <c r="K188">
        <v>0</v>
      </c>
      <c r="L188">
        <v>2908</v>
      </c>
      <c r="M188">
        <v>0</v>
      </c>
      <c r="N188">
        <v>2908</v>
      </c>
    </row>
    <row r="189" spans="1:14" x14ac:dyDescent="0.25">
      <c r="A189">
        <v>10188</v>
      </c>
      <c r="B189" s="4">
        <v>45114</v>
      </c>
      <c r="C189" t="s">
        <v>13</v>
      </c>
      <c r="D189" t="s">
        <v>14</v>
      </c>
      <c r="E189" t="s">
        <v>25</v>
      </c>
      <c r="F189" t="s">
        <v>24</v>
      </c>
      <c r="G189">
        <v>47</v>
      </c>
      <c r="H189" t="str">
        <f t="shared" si="2"/>
        <v>45-54</v>
      </c>
      <c r="I189">
        <v>7</v>
      </c>
      <c r="J189">
        <v>33365</v>
      </c>
      <c r="K189">
        <v>0</v>
      </c>
      <c r="L189">
        <v>233555</v>
      </c>
      <c r="M189">
        <v>0</v>
      </c>
      <c r="N189">
        <v>233555</v>
      </c>
    </row>
    <row r="190" spans="1:14" x14ac:dyDescent="0.25">
      <c r="A190">
        <v>10189</v>
      </c>
      <c r="B190" s="4">
        <v>45115</v>
      </c>
      <c r="C190" t="s">
        <v>33</v>
      </c>
      <c r="D190" t="s">
        <v>22</v>
      </c>
      <c r="E190" t="s">
        <v>15</v>
      </c>
      <c r="F190" t="s">
        <v>16</v>
      </c>
      <c r="G190">
        <v>49</v>
      </c>
      <c r="H190" t="str">
        <f t="shared" si="2"/>
        <v>45-54</v>
      </c>
      <c r="I190">
        <v>4</v>
      </c>
      <c r="J190">
        <v>23233</v>
      </c>
      <c r="K190">
        <v>0</v>
      </c>
      <c r="L190">
        <v>92932</v>
      </c>
      <c r="M190">
        <v>0</v>
      </c>
      <c r="N190">
        <v>92932</v>
      </c>
    </row>
    <row r="191" spans="1:14" x14ac:dyDescent="0.25">
      <c r="A191">
        <v>10190</v>
      </c>
      <c r="B191" s="4">
        <v>45116</v>
      </c>
      <c r="C191" t="s">
        <v>33</v>
      </c>
      <c r="D191" t="s">
        <v>27</v>
      </c>
      <c r="E191" t="s">
        <v>32</v>
      </c>
      <c r="F191" t="s">
        <v>28</v>
      </c>
      <c r="G191">
        <v>28</v>
      </c>
      <c r="H191" t="str">
        <f t="shared" si="2"/>
        <v>25-34</v>
      </c>
      <c r="I191">
        <v>2</v>
      </c>
      <c r="J191">
        <v>34217</v>
      </c>
      <c r="K191">
        <v>20</v>
      </c>
      <c r="L191">
        <v>68434</v>
      </c>
      <c r="M191">
        <v>13686.8</v>
      </c>
      <c r="N191">
        <v>54747.199999999997</v>
      </c>
    </row>
    <row r="192" spans="1:14" x14ac:dyDescent="0.25">
      <c r="A192">
        <v>10191</v>
      </c>
      <c r="B192" s="4">
        <v>45117</v>
      </c>
      <c r="C192" t="s">
        <v>33</v>
      </c>
      <c r="D192" t="s">
        <v>18</v>
      </c>
      <c r="E192" t="s">
        <v>19</v>
      </c>
      <c r="F192" t="s">
        <v>28</v>
      </c>
      <c r="G192">
        <v>26</v>
      </c>
      <c r="H192" t="str">
        <f t="shared" si="2"/>
        <v>25-34</v>
      </c>
      <c r="I192">
        <v>8</v>
      </c>
      <c r="J192">
        <v>38392</v>
      </c>
      <c r="K192">
        <v>5</v>
      </c>
      <c r="L192">
        <v>307136</v>
      </c>
      <c r="M192">
        <v>15356.8</v>
      </c>
      <c r="N192">
        <v>291779.20000000001</v>
      </c>
    </row>
    <row r="193" spans="1:14" x14ac:dyDescent="0.25">
      <c r="A193">
        <v>10192</v>
      </c>
      <c r="B193" s="4">
        <v>45118</v>
      </c>
      <c r="C193" t="s">
        <v>33</v>
      </c>
      <c r="D193" t="s">
        <v>22</v>
      </c>
      <c r="E193" t="s">
        <v>19</v>
      </c>
      <c r="F193" t="s">
        <v>30</v>
      </c>
      <c r="G193">
        <v>31</v>
      </c>
      <c r="H193" t="str">
        <f t="shared" si="2"/>
        <v>25-34</v>
      </c>
      <c r="I193">
        <v>7</v>
      </c>
      <c r="J193">
        <v>49494</v>
      </c>
      <c r="K193">
        <v>20</v>
      </c>
      <c r="L193">
        <v>346458</v>
      </c>
      <c r="M193">
        <v>69291.600000000006</v>
      </c>
      <c r="N193">
        <v>277166.40000000002</v>
      </c>
    </row>
    <row r="194" spans="1:14" x14ac:dyDescent="0.25">
      <c r="A194">
        <v>10193</v>
      </c>
      <c r="B194" s="4">
        <v>45119</v>
      </c>
      <c r="C194" t="s">
        <v>17</v>
      </c>
      <c r="D194" t="s">
        <v>18</v>
      </c>
      <c r="E194" t="s">
        <v>25</v>
      </c>
      <c r="F194" t="s">
        <v>20</v>
      </c>
      <c r="G194">
        <v>53</v>
      </c>
      <c r="H194" t="str">
        <f t="shared" si="2"/>
        <v>45-54</v>
      </c>
      <c r="I194">
        <v>5</v>
      </c>
      <c r="J194">
        <v>43071</v>
      </c>
      <c r="K194">
        <v>20</v>
      </c>
      <c r="L194">
        <v>215355</v>
      </c>
      <c r="M194">
        <v>43071</v>
      </c>
      <c r="N194">
        <v>172284</v>
      </c>
    </row>
    <row r="195" spans="1:14" x14ac:dyDescent="0.25">
      <c r="A195">
        <v>10194</v>
      </c>
      <c r="B195" s="4">
        <v>45120</v>
      </c>
      <c r="C195" t="s">
        <v>17</v>
      </c>
      <c r="D195" t="s">
        <v>27</v>
      </c>
      <c r="E195" t="s">
        <v>15</v>
      </c>
      <c r="F195" t="s">
        <v>28</v>
      </c>
      <c r="G195">
        <v>45</v>
      </c>
      <c r="H195" t="str">
        <f t="shared" ref="H195:H258" si="3">IF(G195&lt;25,"18-24",IF(G195&lt;35,"25-34",IF(G195&lt;45,"35-44",IF(G195&lt;55,"45-54","55+"))))</f>
        <v>45-54</v>
      </c>
      <c r="I195">
        <v>7</v>
      </c>
      <c r="J195">
        <v>22901</v>
      </c>
      <c r="K195">
        <v>5</v>
      </c>
      <c r="L195">
        <v>160307</v>
      </c>
      <c r="M195">
        <v>8015.35</v>
      </c>
      <c r="N195">
        <v>152291.65</v>
      </c>
    </row>
    <row r="196" spans="1:14" x14ac:dyDescent="0.25">
      <c r="A196">
        <v>10195</v>
      </c>
      <c r="B196" s="4">
        <v>45121</v>
      </c>
      <c r="C196" t="s">
        <v>21</v>
      </c>
      <c r="D196" t="s">
        <v>22</v>
      </c>
      <c r="E196" t="s">
        <v>25</v>
      </c>
      <c r="F196" t="s">
        <v>20</v>
      </c>
      <c r="G196">
        <v>23</v>
      </c>
      <c r="H196" t="str">
        <f t="shared" si="3"/>
        <v>18-24</v>
      </c>
      <c r="I196">
        <v>8</v>
      </c>
      <c r="J196">
        <v>42531</v>
      </c>
      <c r="K196">
        <v>10</v>
      </c>
      <c r="L196">
        <v>340248</v>
      </c>
      <c r="M196">
        <v>34024.800000000003</v>
      </c>
      <c r="N196">
        <v>306223.2</v>
      </c>
    </row>
    <row r="197" spans="1:14" x14ac:dyDescent="0.25">
      <c r="A197">
        <v>10196</v>
      </c>
      <c r="B197" s="4">
        <v>45122</v>
      </c>
      <c r="C197" t="s">
        <v>33</v>
      </c>
      <c r="D197" t="s">
        <v>18</v>
      </c>
      <c r="E197" t="s">
        <v>32</v>
      </c>
      <c r="F197" t="s">
        <v>23</v>
      </c>
      <c r="G197">
        <v>54</v>
      </c>
      <c r="H197" t="str">
        <f t="shared" si="3"/>
        <v>45-54</v>
      </c>
      <c r="I197">
        <v>4</v>
      </c>
      <c r="J197">
        <v>40032</v>
      </c>
      <c r="K197">
        <v>15</v>
      </c>
      <c r="L197">
        <v>160128</v>
      </c>
      <c r="M197">
        <v>24019.200000000001</v>
      </c>
      <c r="N197">
        <v>136108.79999999999</v>
      </c>
    </row>
    <row r="198" spans="1:14" x14ac:dyDescent="0.25">
      <c r="A198">
        <v>10197</v>
      </c>
      <c r="B198" s="4">
        <v>45123</v>
      </c>
      <c r="C198" t="s">
        <v>17</v>
      </c>
      <c r="D198" t="s">
        <v>29</v>
      </c>
      <c r="E198" t="s">
        <v>32</v>
      </c>
      <c r="F198" t="s">
        <v>31</v>
      </c>
      <c r="G198">
        <v>36</v>
      </c>
      <c r="H198" t="str">
        <f t="shared" si="3"/>
        <v>35-44</v>
      </c>
      <c r="I198">
        <v>9</v>
      </c>
      <c r="J198">
        <v>21963</v>
      </c>
      <c r="K198">
        <v>5</v>
      </c>
      <c r="L198">
        <v>197667</v>
      </c>
      <c r="M198">
        <v>9883.35</v>
      </c>
      <c r="N198">
        <v>187783.65</v>
      </c>
    </row>
    <row r="199" spans="1:14" x14ac:dyDescent="0.25">
      <c r="A199">
        <v>10198</v>
      </c>
      <c r="B199" s="4">
        <v>45124</v>
      </c>
      <c r="C199" t="s">
        <v>13</v>
      </c>
      <c r="D199" t="s">
        <v>29</v>
      </c>
      <c r="E199" t="s">
        <v>25</v>
      </c>
      <c r="F199" t="s">
        <v>30</v>
      </c>
      <c r="G199">
        <v>21</v>
      </c>
      <c r="H199" t="str">
        <f t="shared" si="3"/>
        <v>18-24</v>
      </c>
      <c r="I199">
        <v>7</v>
      </c>
      <c r="J199">
        <v>16929</v>
      </c>
      <c r="K199">
        <v>10</v>
      </c>
      <c r="L199">
        <v>118503</v>
      </c>
      <c r="M199">
        <v>11850.3</v>
      </c>
      <c r="N199">
        <v>106652.7</v>
      </c>
    </row>
    <row r="200" spans="1:14" x14ac:dyDescent="0.25">
      <c r="A200">
        <v>10199</v>
      </c>
      <c r="B200" s="4">
        <v>45125</v>
      </c>
      <c r="C200" t="s">
        <v>13</v>
      </c>
      <c r="D200" t="s">
        <v>22</v>
      </c>
      <c r="E200" t="s">
        <v>19</v>
      </c>
      <c r="F200" t="s">
        <v>30</v>
      </c>
      <c r="G200">
        <v>24</v>
      </c>
      <c r="H200" t="str">
        <f t="shared" si="3"/>
        <v>18-24</v>
      </c>
      <c r="I200">
        <v>8</v>
      </c>
      <c r="J200">
        <v>5532</v>
      </c>
      <c r="K200">
        <v>0</v>
      </c>
      <c r="L200">
        <v>44256</v>
      </c>
      <c r="M200">
        <v>0</v>
      </c>
      <c r="N200">
        <v>44256</v>
      </c>
    </row>
    <row r="201" spans="1:14" x14ac:dyDescent="0.25">
      <c r="A201">
        <v>10200</v>
      </c>
      <c r="B201" s="4">
        <v>45126</v>
      </c>
      <c r="C201" t="s">
        <v>33</v>
      </c>
      <c r="D201" t="s">
        <v>27</v>
      </c>
      <c r="E201" t="s">
        <v>25</v>
      </c>
      <c r="F201" t="s">
        <v>20</v>
      </c>
      <c r="G201">
        <v>56</v>
      </c>
      <c r="H201" t="str">
        <f t="shared" si="3"/>
        <v>55+</v>
      </c>
      <c r="I201">
        <v>3</v>
      </c>
      <c r="J201">
        <v>8914</v>
      </c>
      <c r="K201">
        <v>20</v>
      </c>
      <c r="L201">
        <v>26742</v>
      </c>
      <c r="M201">
        <v>5348.4</v>
      </c>
      <c r="N201">
        <v>21393.599999999999</v>
      </c>
    </row>
    <row r="202" spans="1:14" x14ac:dyDescent="0.25">
      <c r="A202">
        <v>10201</v>
      </c>
      <c r="B202" s="4">
        <v>45127</v>
      </c>
      <c r="C202" t="s">
        <v>21</v>
      </c>
      <c r="D202" t="s">
        <v>22</v>
      </c>
      <c r="E202" t="s">
        <v>15</v>
      </c>
      <c r="F202" t="s">
        <v>28</v>
      </c>
      <c r="G202">
        <v>36</v>
      </c>
      <c r="H202" t="str">
        <f t="shared" si="3"/>
        <v>35-44</v>
      </c>
      <c r="I202">
        <v>8</v>
      </c>
      <c r="J202">
        <v>30673</v>
      </c>
      <c r="K202">
        <v>20</v>
      </c>
      <c r="L202">
        <v>245384</v>
      </c>
      <c r="M202">
        <v>49076.800000000003</v>
      </c>
      <c r="N202">
        <v>196307.20000000001</v>
      </c>
    </row>
    <row r="203" spans="1:14" x14ac:dyDescent="0.25">
      <c r="A203">
        <v>10202</v>
      </c>
      <c r="B203" s="4">
        <v>45128</v>
      </c>
      <c r="C203" t="s">
        <v>33</v>
      </c>
      <c r="D203" t="s">
        <v>22</v>
      </c>
      <c r="E203" t="s">
        <v>32</v>
      </c>
      <c r="F203" t="s">
        <v>20</v>
      </c>
      <c r="G203">
        <v>25</v>
      </c>
      <c r="H203" t="str">
        <f t="shared" si="3"/>
        <v>25-34</v>
      </c>
      <c r="I203">
        <v>7</v>
      </c>
      <c r="J203">
        <v>13077</v>
      </c>
      <c r="K203">
        <v>10</v>
      </c>
      <c r="L203">
        <v>91539</v>
      </c>
      <c r="M203">
        <v>9153.9</v>
      </c>
      <c r="N203">
        <v>82385.100000000006</v>
      </c>
    </row>
    <row r="204" spans="1:14" x14ac:dyDescent="0.25">
      <c r="A204">
        <v>10203</v>
      </c>
      <c r="B204" s="4">
        <v>45129</v>
      </c>
      <c r="C204" t="s">
        <v>21</v>
      </c>
      <c r="D204" t="s">
        <v>22</v>
      </c>
      <c r="E204" t="s">
        <v>25</v>
      </c>
      <c r="F204" t="s">
        <v>26</v>
      </c>
      <c r="G204">
        <v>33</v>
      </c>
      <c r="H204" t="str">
        <f t="shared" si="3"/>
        <v>25-34</v>
      </c>
      <c r="I204">
        <v>8</v>
      </c>
      <c r="J204">
        <v>41487</v>
      </c>
      <c r="K204">
        <v>15</v>
      </c>
      <c r="L204">
        <v>331896</v>
      </c>
      <c r="M204">
        <v>49784.4</v>
      </c>
      <c r="N204">
        <v>282111.59999999998</v>
      </c>
    </row>
    <row r="205" spans="1:14" x14ac:dyDescent="0.25">
      <c r="A205">
        <v>10204</v>
      </c>
      <c r="B205" s="4">
        <v>45130</v>
      </c>
      <c r="C205" t="s">
        <v>33</v>
      </c>
      <c r="D205" t="s">
        <v>27</v>
      </c>
      <c r="E205" t="s">
        <v>19</v>
      </c>
      <c r="F205" t="s">
        <v>31</v>
      </c>
      <c r="G205">
        <v>62</v>
      </c>
      <c r="H205" t="str">
        <f t="shared" si="3"/>
        <v>55+</v>
      </c>
      <c r="I205">
        <v>4</v>
      </c>
      <c r="J205">
        <v>4067</v>
      </c>
      <c r="K205">
        <v>15</v>
      </c>
      <c r="L205">
        <v>16268</v>
      </c>
      <c r="M205">
        <v>2440.1999999999998</v>
      </c>
      <c r="N205">
        <v>13827.8</v>
      </c>
    </row>
    <row r="206" spans="1:14" x14ac:dyDescent="0.25">
      <c r="A206">
        <v>10205</v>
      </c>
      <c r="B206" s="4">
        <v>45131</v>
      </c>
      <c r="C206" t="s">
        <v>13</v>
      </c>
      <c r="D206" t="s">
        <v>14</v>
      </c>
      <c r="E206" t="s">
        <v>25</v>
      </c>
      <c r="F206" t="s">
        <v>24</v>
      </c>
      <c r="G206">
        <v>64</v>
      </c>
      <c r="H206" t="str">
        <f t="shared" si="3"/>
        <v>55+</v>
      </c>
      <c r="I206">
        <v>7</v>
      </c>
      <c r="J206">
        <v>31929</v>
      </c>
      <c r="K206">
        <v>15</v>
      </c>
      <c r="L206">
        <v>223503</v>
      </c>
      <c r="M206">
        <v>33525.449999999997</v>
      </c>
      <c r="N206">
        <v>189977.55</v>
      </c>
    </row>
    <row r="207" spans="1:14" x14ac:dyDescent="0.25">
      <c r="A207">
        <v>10206</v>
      </c>
      <c r="B207" s="4">
        <v>45132</v>
      </c>
      <c r="C207" t="s">
        <v>13</v>
      </c>
      <c r="D207" t="s">
        <v>18</v>
      </c>
      <c r="E207" t="s">
        <v>15</v>
      </c>
      <c r="F207" t="s">
        <v>23</v>
      </c>
      <c r="G207">
        <v>51</v>
      </c>
      <c r="H207" t="str">
        <f t="shared" si="3"/>
        <v>45-54</v>
      </c>
      <c r="I207">
        <v>6</v>
      </c>
      <c r="J207">
        <v>10063</v>
      </c>
      <c r="K207">
        <v>5</v>
      </c>
      <c r="L207">
        <v>60378</v>
      </c>
      <c r="M207">
        <v>3018.9</v>
      </c>
      <c r="N207">
        <v>57359.1</v>
      </c>
    </row>
    <row r="208" spans="1:14" x14ac:dyDescent="0.25">
      <c r="A208">
        <v>10207</v>
      </c>
      <c r="B208" s="4">
        <v>45133</v>
      </c>
      <c r="C208" t="s">
        <v>13</v>
      </c>
      <c r="D208" t="s">
        <v>18</v>
      </c>
      <c r="E208" t="s">
        <v>19</v>
      </c>
      <c r="F208" t="s">
        <v>31</v>
      </c>
      <c r="G208">
        <v>28</v>
      </c>
      <c r="H208" t="str">
        <f t="shared" si="3"/>
        <v>25-34</v>
      </c>
      <c r="I208">
        <v>9</v>
      </c>
      <c r="J208">
        <v>41758</v>
      </c>
      <c r="K208">
        <v>20</v>
      </c>
      <c r="L208">
        <v>375822</v>
      </c>
      <c r="M208">
        <v>75164.399999999994</v>
      </c>
      <c r="N208">
        <v>300657.59999999998</v>
      </c>
    </row>
    <row r="209" spans="1:14" x14ac:dyDescent="0.25">
      <c r="A209">
        <v>10208</v>
      </c>
      <c r="B209" s="4">
        <v>45134</v>
      </c>
      <c r="C209" t="s">
        <v>33</v>
      </c>
      <c r="D209" t="s">
        <v>29</v>
      </c>
      <c r="E209" t="s">
        <v>25</v>
      </c>
      <c r="F209" t="s">
        <v>24</v>
      </c>
      <c r="G209">
        <v>21</v>
      </c>
      <c r="H209" t="str">
        <f t="shared" si="3"/>
        <v>18-24</v>
      </c>
      <c r="I209">
        <v>7</v>
      </c>
      <c r="J209">
        <v>41797</v>
      </c>
      <c r="K209">
        <v>20</v>
      </c>
      <c r="L209">
        <v>292579</v>
      </c>
      <c r="M209">
        <v>58515.8</v>
      </c>
      <c r="N209">
        <v>234063.2</v>
      </c>
    </row>
    <row r="210" spans="1:14" x14ac:dyDescent="0.25">
      <c r="A210">
        <v>10209</v>
      </c>
      <c r="B210" s="4">
        <v>45135</v>
      </c>
      <c r="C210" t="s">
        <v>13</v>
      </c>
      <c r="D210" t="s">
        <v>29</v>
      </c>
      <c r="E210" t="s">
        <v>25</v>
      </c>
      <c r="F210" t="s">
        <v>24</v>
      </c>
      <c r="G210">
        <v>42</v>
      </c>
      <c r="H210" t="str">
        <f t="shared" si="3"/>
        <v>35-44</v>
      </c>
      <c r="I210">
        <v>8</v>
      </c>
      <c r="J210">
        <v>46329</v>
      </c>
      <c r="K210">
        <v>10</v>
      </c>
      <c r="L210">
        <v>370632</v>
      </c>
      <c r="M210">
        <v>37063.199999999997</v>
      </c>
      <c r="N210">
        <v>333568.8</v>
      </c>
    </row>
    <row r="211" spans="1:14" x14ac:dyDescent="0.25">
      <c r="A211">
        <v>10210</v>
      </c>
      <c r="B211" s="4">
        <v>45136</v>
      </c>
      <c r="C211" t="s">
        <v>13</v>
      </c>
      <c r="D211" t="s">
        <v>27</v>
      </c>
      <c r="E211" t="s">
        <v>19</v>
      </c>
      <c r="F211" t="s">
        <v>23</v>
      </c>
      <c r="G211">
        <v>61</v>
      </c>
      <c r="H211" t="str">
        <f t="shared" si="3"/>
        <v>55+</v>
      </c>
      <c r="I211">
        <v>7</v>
      </c>
      <c r="J211">
        <v>16126</v>
      </c>
      <c r="K211">
        <v>15</v>
      </c>
      <c r="L211">
        <v>112882</v>
      </c>
      <c r="M211">
        <v>16932.3</v>
      </c>
      <c r="N211">
        <v>95949.7</v>
      </c>
    </row>
    <row r="212" spans="1:14" x14ac:dyDescent="0.25">
      <c r="A212">
        <v>10211</v>
      </c>
      <c r="B212" s="4">
        <v>45137</v>
      </c>
      <c r="C212" t="s">
        <v>21</v>
      </c>
      <c r="D212" t="s">
        <v>14</v>
      </c>
      <c r="E212" t="s">
        <v>25</v>
      </c>
      <c r="F212" t="s">
        <v>23</v>
      </c>
      <c r="G212">
        <v>43</v>
      </c>
      <c r="H212" t="str">
        <f t="shared" si="3"/>
        <v>35-44</v>
      </c>
      <c r="I212">
        <v>1</v>
      </c>
      <c r="J212">
        <v>14330</v>
      </c>
      <c r="K212">
        <v>10</v>
      </c>
      <c r="L212">
        <v>14330</v>
      </c>
      <c r="M212">
        <v>1433</v>
      </c>
      <c r="N212">
        <v>12897</v>
      </c>
    </row>
    <row r="213" spans="1:14" x14ac:dyDescent="0.25">
      <c r="A213">
        <v>10212</v>
      </c>
      <c r="B213" s="4">
        <v>45138</v>
      </c>
      <c r="C213" t="s">
        <v>33</v>
      </c>
      <c r="D213" t="s">
        <v>27</v>
      </c>
      <c r="E213" t="s">
        <v>32</v>
      </c>
      <c r="F213" t="s">
        <v>31</v>
      </c>
      <c r="G213">
        <v>44</v>
      </c>
      <c r="H213" t="str">
        <f t="shared" si="3"/>
        <v>35-44</v>
      </c>
      <c r="I213">
        <v>7</v>
      </c>
      <c r="J213">
        <v>42686</v>
      </c>
      <c r="K213">
        <v>5</v>
      </c>
      <c r="L213">
        <v>298802</v>
      </c>
      <c r="M213">
        <v>14940.1</v>
      </c>
      <c r="N213">
        <v>283861.90000000002</v>
      </c>
    </row>
    <row r="214" spans="1:14" x14ac:dyDescent="0.25">
      <c r="A214">
        <v>10213</v>
      </c>
      <c r="B214" s="4">
        <v>45139</v>
      </c>
      <c r="C214" t="s">
        <v>21</v>
      </c>
      <c r="D214" t="s">
        <v>18</v>
      </c>
      <c r="E214" t="s">
        <v>15</v>
      </c>
      <c r="F214" t="s">
        <v>26</v>
      </c>
      <c r="G214">
        <v>19</v>
      </c>
      <c r="H214" t="str">
        <f t="shared" si="3"/>
        <v>18-24</v>
      </c>
      <c r="I214">
        <v>2</v>
      </c>
      <c r="J214">
        <v>22423</v>
      </c>
      <c r="K214">
        <v>15</v>
      </c>
      <c r="L214">
        <v>44846</v>
      </c>
      <c r="M214">
        <v>6726.9</v>
      </c>
      <c r="N214">
        <v>38119.1</v>
      </c>
    </row>
    <row r="215" spans="1:14" x14ac:dyDescent="0.25">
      <c r="A215">
        <v>10214</v>
      </c>
      <c r="B215" s="4">
        <v>45140</v>
      </c>
      <c r="C215" t="s">
        <v>17</v>
      </c>
      <c r="D215" t="s">
        <v>18</v>
      </c>
      <c r="E215" t="s">
        <v>25</v>
      </c>
      <c r="F215" t="s">
        <v>24</v>
      </c>
      <c r="G215">
        <v>55</v>
      </c>
      <c r="H215" t="str">
        <f t="shared" si="3"/>
        <v>55+</v>
      </c>
      <c r="I215">
        <v>1</v>
      </c>
      <c r="J215">
        <v>42270</v>
      </c>
      <c r="K215">
        <v>15</v>
      </c>
      <c r="L215">
        <v>42270</v>
      </c>
      <c r="M215">
        <v>6340.5</v>
      </c>
      <c r="N215">
        <v>35929.5</v>
      </c>
    </row>
    <row r="216" spans="1:14" x14ac:dyDescent="0.25">
      <c r="A216">
        <v>10215</v>
      </c>
      <c r="B216" s="4">
        <v>45141</v>
      </c>
      <c r="C216" t="s">
        <v>13</v>
      </c>
      <c r="D216" t="s">
        <v>22</v>
      </c>
      <c r="E216" t="s">
        <v>25</v>
      </c>
      <c r="F216" t="s">
        <v>30</v>
      </c>
      <c r="G216">
        <v>24</v>
      </c>
      <c r="H216" t="str">
        <f t="shared" si="3"/>
        <v>18-24</v>
      </c>
      <c r="I216">
        <v>2</v>
      </c>
      <c r="J216">
        <v>42949</v>
      </c>
      <c r="K216">
        <v>5</v>
      </c>
      <c r="L216">
        <v>85898</v>
      </c>
      <c r="M216">
        <v>4294.8999999999996</v>
      </c>
      <c r="N216">
        <v>81603.100000000006</v>
      </c>
    </row>
    <row r="217" spans="1:14" x14ac:dyDescent="0.25">
      <c r="A217">
        <v>10216</v>
      </c>
      <c r="B217" s="4">
        <v>45142</v>
      </c>
      <c r="C217" t="s">
        <v>21</v>
      </c>
      <c r="D217" t="s">
        <v>27</v>
      </c>
      <c r="E217" t="s">
        <v>25</v>
      </c>
      <c r="F217" t="s">
        <v>24</v>
      </c>
      <c r="G217">
        <v>36</v>
      </c>
      <c r="H217" t="str">
        <f t="shared" si="3"/>
        <v>35-44</v>
      </c>
      <c r="I217">
        <v>6</v>
      </c>
      <c r="J217">
        <v>46890</v>
      </c>
      <c r="K217">
        <v>20</v>
      </c>
      <c r="L217">
        <v>281340</v>
      </c>
      <c r="M217">
        <v>56268</v>
      </c>
      <c r="N217">
        <v>225072</v>
      </c>
    </row>
    <row r="218" spans="1:14" x14ac:dyDescent="0.25">
      <c r="A218">
        <v>10217</v>
      </c>
      <c r="B218" s="4">
        <v>45143</v>
      </c>
      <c r="C218" t="s">
        <v>13</v>
      </c>
      <c r="D218" t="s">
        <v>27</v>
      </c>
      <c r="E218" t="s">
        <v>25</v>
      </c>
      <c r="F218" t="s">
        <v>23</v>
      </c>
      <c r="G218">
        <v>52</v>
      </c>
      <c r="H218" t="str">
        <f t="shared" si="3"/>
        <v>45-54</v>
      </c>
      <c r="I218">
        <v>1</v>
      </c>
      <c r="J218">
        <v>20199</v>
      </c>
      <c r="K218">
        <v>15</v>
      </c>
      <c r="L218">
        <v>20199</v>
      </c>
      <c r="M218">
        <v>3029.85</v>
      </c>
      <c r="N218">
        <v>17169.150000000001</v>
      </c>
    </row>
    <row r="219" spans="1:14" x14ac:dyDescent="0.25">
      <c r="A219">
        <v>10218</v>
      </c>
      <c r="B219" s="4">
        <v>45144</v>
      </c>
      <c r="C219" t="s">
        <v>13</v>
      </c>
      <c r="D219" t="s">
        <v>29</v>
      </c>
      <c r="E219" t="s">
        <v>19</v>
      </c>
      <c r="F219" t="s">
        <v>28</v>
      </c>
      <c r="G219">
        <v>49</v>
      </c>
      <c r="H219" t="str">
        <f t="shared" si="3"/>
        <v>45-54</v>
      </c>
      <c r="I219">
        <v>6</v>
      </c>
      <c r="J219">
        <v>9347</v>
      </c>
      <c r="K219">
        <v>20</v>
      </c>
      <c r="L219">
        <v>56082</v>
      </c>
      <c r="M219">
        <v>11216.4</v>
      </c>
      <c r="N219">
        <v>44865.599999999999</v>
      </c>
    </row>
    <row r="220" spans="1:14" x14ac:dyDescent="0.25">
      <c r="A220">
        <v>10219</v>
      </c>
      <c r="B220" s="4">
        <v>45145</v>
      </c>
      <c r="C220" t="s">
        <v>17</v>
      </c>
      <c r="D220" t="s">
        <v>22</v>
      </c>
      <c r="E220" t="s">
        <v>15</v>
      </c>
      <c r="F220" t="s">
        <v>23</v>
      </c>
      <c r="G220">
        <v>50</v>
      </c>
      <c r="H220" t="str">
        <f t="shared" si="3"/>
        <v>45-54</v>
      </c>
      <c r="I220">
        <v>2</v>
      </c>
      <c r="J220">
        <v>17774</v>
      </c>
      <c r="K220">
        <v>20</v>
      </c>
      <c r="L220">
        <v>35548</v>
      </c>
      <c r="M220">
        <v>7109.6</v>
      </c>
      <c r="N220">
        <v>28438.400000000001</v>
      </c>
    </row>
    <row r="221" spans="1:14" x14ac:dyDescent="0.25">
      <c r="A221">
        <v>10220</v>
      </c>
      <c r="B221" s="4">
        <v>45146</v>
      </c>
      <c r="C221" t="s">
        <v>21</v>
      </c>
      <c r="D221" t="s">
        <v>18</v>
      </c>
      <c r="E221" t="s">
        <v>32</v>
      </c>
      <c r="F221" t="s">
        <v>24</v>
      </c>
      <c r="G221">
        <v>58</v>
      </c>
      <c r="H221" t="str">
        <f t="shared" si="3"/>
        <v>55+</v>
      </c>
      <c r="I221">
        <v>1</v>
      </c>
      <c r="J221">
        <v>24335</v>
      </c>
      <c r="K221">
        <v>10</v>
      </c>
      <c r="L221">
        <v>24335</v>
      </c>
      <c r="M221">
        <v>2433.5</v>
      </c>
      <c r="N221">
        <v>21901.5</v>
      </c>
    </row>
    <row r="222" spans="1:14" x14ac:dyDescent="0.25">
      <c r="A222">
        <v>10221</v>
      </c>
      <c r="B222" s="4">
        <v>45147</v>
      </c>
      <c r="C222" t="s">
        <v>13</v>
      </c>
      <c r="D222" t="s">
        <v>29</v>
      </c>
      <c r="E222" t="s">
        <v>32</v>
      </c>
      <c r="F222" t="s">
        <v>24</v>
      </c>
      <c r="G222">
        <v>34</v>
      </c>
      <c r="H222" t="str">
        <f t="shared" si="3"/>
        <v>25-34</v>
      </c>
      <c r="I222">
        <v>4</v>
      </c>
      <c r="J222">
        <v>45178</v>
      </c>
      <c r="K222">
        <v>5</v>
      </c>
      <c r="L222">
        <v>180712</v>
      </c>
      <c r="M222">
        <v>9035.6</v>
      </c>
      <c r="N222">
        <v>171676.4</v>
      </c>
    </row>
    <row r="223" spans="1:14" x14ac:dyDescent="0.25">
      <c r="A223">
        <v>10222</v>
      </c>
      <c r="B223" s="4">
        <v>45148</v>
      </c>
      <c r="C223" t="s">
        <v>17</v>
      </c>
      <c r="D223" t="s">
        <v>29</v>
      </c>
      <c r="E223" t="s">
        <v>19</v>
      </c>
      <c r="F223" t="s">
        <v>28</v>
      </c>
      <c r="G223">
        <v>52</v>
      </c>
      <c r="H223" t="str">
        <f t="shared" si="3"/>
        <v>45-54</v>
      </c>
      <c r="I223">
        <v>5</v>
      </c>
      <c r="J223">
        <v>23267</v>
      </c>
      <c r="K223">
        <v>15</v>
      </c>
      <c r="L223">
        <v>116335</v>
      </c>
      <c r="M223">
        <v>17450.25</v>
      </c>
      <c r="N223">
        <v>98884.75</v>
      </c>
    </row>
    <row r="224" spans="1:14" x14ac:dyDescent="0.25">
      <c r="A224">
        <v>10223</v>
      </c>
      <c r="B224" s="4">
        <v>45149</v>
      </c>
      <c r="C224" t="s">
        <v>13</v>
      </c>
      <c r="D224" t="s">
        <v>18</v>
      </c>
      <c r="E224" t="s">
        <v>15</v>
      </c>
      <c r="F224" t="s">
        <v>20</v>
      </c>
      <c r="G224">
        <v>61</v>
      </c>
      <c r="H224" t="str">
        <f t="shared" si="3"/>
        <v>55+</v>
      </c>
      <c r="I224">
        <v>3</v>
      </c>
      <c r="J224">
        <v>42099</v>
      </c>
      <c r="K224">
        <v>20</v>
      </c>
      <c r="L224">
        <v>126297</v>
      </c>
      <c r="M224">
        <v>25259.4</v>
      </c>
      <c r="N224">
        <v>101037.6</v>
      </c>
    </row>
    <row r="225" spans="1:14" x14ac:dyDescent="0.25">
      <c r="A225">
        <v>10224</v>
      </c>
      <c r="B225" s="4">
        <v>45150</v>
      </c>
      <c r="C225" t="s">
        <v>13</v>
      </c>
      <c r="D225" t="s">
        <v>22</v>
      </c>
      <c r="E225" t="s">
        <v>32</v>
      </c>
      <c r="F225" t="s">
        <v>20</v>
      </c>
      <c r="G225">
        <v>54</v>
      </c>
      <c r="H225" t="str">
        <f t="shared" si="3"/>
        <v>45-54</v>
      </c>
      <c r="I225">
        <v>7</v>
      </c>
      <c r="J225">
        <v>22063</v>
      </c>
      <c r="K225">
        <v>20</v>
      </c>
      <c r="L225">
        <v>154441</v>
      </c>
      <c r="M225">
        <v>30888.2</v>
      </c>
      <c r="N225">
        <v>123552.8</v>
      </c>
    </row>
    <row r="226" spans="1:14" x14ac:dyDescent="0.25">
      <c r="A226">
        <v>10225</v>
      </c>
      <c r="B226" s="4">
        <v>45151</v>
      </c>
      <c r="C226" t="s">
        <v>33</v>
      </c>
      <c r="D226" t="s">
        <v>14</v>
      </c>
      <c r="E226" t="s">
        <v>32</v>
      </c>
      <c r="F226" t="s">
        <v>26</v>
      </c>
      <c r="G226">
        <v>36</v>
      </c>
      <c r="H226" t="str">
        <f t="shared" si="3"/>
        <v>35-44</v>
      </c>
      <c r="I226">
        <v>7</v>
      </c>
      <c r="J226">
        <v>3153</v>
      </c>
      <c r="K226">
        <v>0</v>
      </c>
      <c r="L226">
        <v>22071</v>
      </c>
      <c r="M226">
        <v>0</v>
      </c>
      <c r="N226">
        <v>22071</v>
      </c>
    </row>
    <row r="227" spans="1:14" x14ac:dyDescent="0.25">
      <c r="A227">
        <v>10226</v>
      </c>
      <c r="B227" s="4">
        <v>45152</v>
      </c>
      <c r="C227" t="s">
        <v>13</v>
      </c>
      <c r="D227" t="s">
        <v>27</v>
      </c>
      <c r="E227" t="s">
        <v>15</v>
      </c>
      <c r="F227" t="s">
        <v>30</v>
      </c>
      <c r="G227">
        <v>26</v>
      </c>
      <c r="H227" t="str">
        <f t="shared" si="3"/>
        <v>25-34</v>
      </c>
      <c r="I227">
        <v>7</v>
      </c>
      <c r="J227">
        <v>26462</v>
      </c>
      <c r="K227">
        <v>20</v>
      </c>
      <c r="L227">
        <v>185234</v>
      </c>
      <c r="M227">
        <v>37046.800000000003</v>
      </c>
      <c r="N227">
        <v>148187.20000000001</v>
      </c>
    </row>
    <row r="228" spans="1:14" x14ac:dyDescent="0.25">
      <c r="A228">
        <v>10227</v>
      </c>
      <c r="B228" s="4">
        <v>45153</v>
      </c>
      <c r="C228" t="s">
        <v>21</v>
      </c>
      <c r="D228" t="s">
        <v>14</v>
      </c>
      <c r="E228" t="s">
        <v>25</v>
      </c>
      <c r="F228" t="s">
        <v>31</v>
      </c>
      <c r="G228">
        <v>20</v>
      </c>
      <c r="H228" t="str">
        <f t="shared" si="3"/>
        <v>18-24</v>
      </c>
      <c r="I228">
        <v>6</v>
      </c>
      <c r="J228">
        <v>14247</v>
      </c>
      <c r="K228">
        <v>0</v>
      </c>
      <c r="L228">
        <v>85482</v>
      </c>
      <c r="M228">
        <v>0</v>
      </c>
      <c r="N228">
        <v>85482</v>
      </c>
    </row>
    <row r="229" spans="1:14" x14ac:dyDescent="0.25">
      <c r="A229">
        <v>10228</v>
      </c>
      <c r="B229" s="4">
        <v>45154</v>
      </c>
      <c r="C229" t="s">
        <v>21</v>
      </c>
      <c r="D229" t="s">
        <v>29</v>
      </c>
      <c r="E229" t="s">
        <v>15</v>
      </c>
      <c r="F229" t="s">
        <v>23</v>
      </c>
      <c r="G229">
        <v>37</v>
      </c>
      <c r="H229" t="str">
        <f t="shared" si="3"/>
        <v>35-44</v>
      </c>
      <c r="I229">
        <v>3</v>
      </c>
      <c r="J229">
        <v>35195</v>
      </c>
      <c r="K229">
        <v>5</v>
      </c>
      <c r="L229">
        <v>105585</v>
      </c>
      <c r="M229">
        <v>5279.25</v>
      </c>
      <c r="N229">
        <v>100305.75</v>
      </c>
    </row>
    <row r="230" spans="1:14" x14ac:dyDescent="0.25">
      <c r="A230">
        <v>10229</v>
      </c>
      <c r="B230" s="4">
        <v>45155</v>
      </c>
      <c r="C230" t="s">
        <v>17</v>
      </c>
      <c r="D230" t="s">
        <v>27</v>
      </c>
      <c r="E230" t="s">
        <v>19</v>
      </c>
      <c r="F230" t="s">
        <v>23</v>
      </c>
      <c r="G230">
        <v>48</v>
      </c>
      <c r="H230" t="str">
        <f t="shared" si="3"/>
        <v>45-54</v>
      </c>
      <c r="I230">
        <v>4</v>
      </c>
      <c r="J230">
        <v>40606</v>
      </c>
      <c r="K230">
        <v>10</v>
      </c>
      <c r="L230">
        <v>162424</v>
      </c>
      <c r="M230">
        <v>16242.4</v>
      </c>
      <c r="N230">
        <v>146181.6</v>
      </c>
    </row>
    <row r="231" spans="1:14" x14ac:dyDescent="0.25">
      <c r="A231">
        <v>10230</v>
      </c>
      <c r="B231" s="4">
        <v>45156</v>
      </c>
      <c r="C231" t="s">
        <v>33</v>
      </c>
      <c r="D231" t="s">
        <v>29</v>
      </c>
      <c r="E231" t="s">
        <v>25</v>
      </c>
      <c r="F231" t="s">
        <v>28</v>
      </c>
      <c r="G231">
        <v>29</v>
      </c>
      <c r="H231" t="str">
        <f t="shared" si="3"/>
        <v>25-34</v>
      </c>
      <c r="I231">
        <v>7</v>
      </c>
      <c r="J231">
        <v>43174</v>
      </c>
      <c r="K231">
        <v>10</v>
      </c>
      <c r="L231">
        <v>302218</v>
      </c>
      <c r="M231">
        <v>30221.8</v>
      </c>
      <c r="N231">
        <v>271996.2</v>
      </c>
    </row>
    <row r="232" spans="1:14" x14ac:dyDescent="0.25">
      <c r="A232">
        <v>10231</v>
      </c>
      <c r="B232" s="4">
        <v>45157</v>
      </c>
      <c r="C232" t="s">
        <v>13</v>
      </c>
      <c r="D232" t="s">
        <v>22</v>
      </c>
      <c r="E232" t="s">
        <v>32</v>
      </c>
      <c r="F232" t="s">
        <v>26</v>
      </c>
      <c r="G232">
        <v>43</v>
      </c>
      <c r="H232" t="str">
        <f t="shared" si="3"/>
        <v>35-44</v>
      </c>
      <c r="I232">
        <v>7</v>
      </c>
      <c r="J232">
        <v>37619</v>
      </c>
      <c r="K232">
        <v>0</v>
      </c>
      <c r="L232">
        <v>263333</v>
      </c>
      <c r="M232">
        <v>0</v>
      </c>
      <c r="N232">
        <v>263333</v>
      </c>
    </row>
    <row r="233" spans="1:14" x14ac:dyDescent="0.25">
      <c r="A233">
        <v>10232</v>
      </c>
      <c r="B233" s="4">
        <v>45158</v>
      </c>
      <c r="C233" t="s">
        <v>21</v>
      </c>
      <c r="D233" t="s">
        <v>29</v>
      </c>
      <c r="E233" t="s">
        <v>19</v>
      </c>
      <c r="F233" t="s">
        <v>30</v>
      </c>
      <c r="G233">
        <v>53</v>
      </c>
      <c r="H233" t="str">
        <f t="shared" si="3"/>
        <v>45-54</v>
      </c>
      <c r="I233">
        <v>3</v>
      </c>
      <c r="J233">
        <v>254</v>
      </c>
      <c r="K233">
        <v>20</v>
      </c>
      <c r="L233">
        <v>762</v>
      </c>
      <c r="M233">
        <v>152.4</v>
      </c>
      <c r="N233">
        <v>609.6</v>
      </c>
    </row>
    <row r="234" spans="1:14" x14ac:dyDescent="0.25">
      <c r="A234">
        <v>10233</v>
      </c>
      <c r="B234" s="4">
        <v>45159</v>
      </c>
      <c r="C234" t="s">
        <v>17</v>
      </c>
      <c r="D234" t="s">
        <v>27</v>
      </c>
      <c r="E234" t="s">
        <v>32</v>
      </c>
      <c r="F234" t="s">
        <v>20</v>
      </c>
      <c r="G234">
        <v>33</v>
      </c>
      <c r="H234" t="str">
        <f t="shared" si="3"/>
        <v>25-34</v>
      </c>
      <c r="I234">
        <v>9</v>
      </c>
      <c r="J234">
        <v>35547</v>
      </c>
      <c r="K234">
        <v>15</v>
      </c>
      <c r="L234">
        <v>319923</v>
      </c>
      <c r="M234">
        <v>47988.45</v>
      </c>
      <c r="N234">
        <v>271934.55</v>
      </c>
    </row>
    <row r="235" spans="1:14" x14ac:dyDescent="0.25">
      <c r="A235">
        <v>10234</v>
      </c>
      <c r="B235" s="4">
        <v>45160</v>
      </c>
      <c r="C235" t="s">
        <v>17</v>
      </c>
      <c r="D235" t="s">
        <v>29</v>
      </c>
      <c r="E235" t="s">
        <v>19</v>
      </c>
      <c r="F235" t="s">
        <v>16</v>
      </c>
      <c r="G235">
        <v>58</v>
      </c>
      <c r="H235" t="str">
        <f t="shared" si="3"/>
        <v>55+</v>
      </c>
      <c r="I235">
        <v>8</v>
      </c>
      <c r="J235">
        <v>46844</v>
      </c>
      <c r="K235">
        <v>5</v>
      </c>
      <c r="L235">
        <v>374752</v>
      </c>
      <c r="M235">
        <v>18737.599999999999</v>
      </c>
      <c r="N235">
        <v>356014.4</v>
      </c>
    </row>
    <row r="236" spans="1:14" x14ac:dyDescent="0.25">
      <c r="A236">
        <v>10235</v>
      </c>
      <c r="B236" s="4">
        <v>45161</v>
      </c>
      <c r="C236" t="s">
        <v>21</v>
      </c>
      <c r="D236" t="s">
        <v>14</v>
      </c>
      <c r="E236" t="s">
        <v>19</v>
      </c>
      <c r="F236" t="s">
        <v>24</v>
      </c>
      <c r="G236">
        <v>30</v>
      </c>
      <c r="H236" t="str">
        <f t="shared" si="3"/>
        <v>25-34</v>
      </c>
      <c r="I236">
        <v>4</v>
      </c>
      <c r="J236">
        <v>47870</v>
      </c>
      <c r="K236">
        <v>20</v>
      </c>
      <c r="L236">
        <v>191480</v>
      </c>
      <c r="M236">
        <v>38296</v>
      </c>
      <c r="N236">
        <v>153184</v>
      </c>
    </row>
    <row r="237" spans="1:14" x14ac:dyDescent="0.25">
      <c r="A237">
        <v>10236</v>
      </c>
      <c r="B237" s="4">
        <v>45162</v>
      </c>
      <c r="C237" t="s">
        <v>17</v>
      </c>
      <c r="D237" t="s">
        <v>14</v>
      </c>
      <c r="E237" t="s">
        <v>15</v>
      </c>
      <c r="F237" t="s">
        <v>31</v>
      </c>
      <c r="G237">
        <v>30</v>
      </c>
      <c r="H237" t="str">
        <f t="shared" si="3"/>
        <v>25-34</v>
      </c>
      <c r="I237">
        <v>6</v>
      </c>
      <c r="J237">
        <v>4880</v>
      </c>
      <c r="K237">
        <v>10</v>
      </c>
      <c r="L237">
        <v>29280</v>
      </c>
      <c r="M237">
        <v>2928</v>
      </c>
      <c r="N237">
        <v>26352</v>
      </c>
    </row>
    <row r="238" spans="1:14" x14ac:dyDescent="0.25">
      <c r="A238">
        <v>10237</v>
      </c>
      <c r="B238" s="4">
        <v>45163</v>
      </c>
      <c r="C238" t="s">
        <v>13</v>
      </c>
      <c r="D238" t="s">
        <v>18</v>
      </c>
      <c r="E238" t="s">
        <v>32</v>
      </c>
      <c r="F238" t="s">
        <v>20</v>
      </c>
      <c r="G238">
        <v>28</v>
      </c>
      <c r="H238" t="str">
        <f t="shared" si="3"/>
        <v>25-34</v>
      </c>
      <c r="I238">
        <v>3</v>
      </c>
      <c r="J238">
        <v>45393</v>
      </c>
      <c r="K238">
        <v>0</v>
      </c>
      <c r="L238">
        <v>136179</v>
      </c>
      <c r="M238">
        <v>0</v>
      </c>
      <c r="N238">
        <v>136179</v>
      </c>
    </row>
    <row r="239" spans="1:14" x14ac:dyDescent="0.25">
      <c r="A239">
        <v>10238</v>
      </c>
      <c r="B239" s="4">
        <v>45164</v>
      </c>
      <c r="C239" t="s">
        <v>33</v>
      </c>
      <c r="D239" t="s">
        <v>14</v>
      </c>
      <c r="E239" t="s">
        <v>25</v>
      </c>
      <c r="F239" t="s">
        <v>23</v>
      </c>
      <c r="G239">
        <v>24</v>
      </c>
      <c r="H239" t="str">
        <f t="shared" si="3"/>
        <v>18-24</v>
      </c>
      <c r="I239">
        <v>2</v>
      </c>
      <c r="J239">
        <v>19419</v>
      </c>
      <c r="K239">
        <v>5</v>
      </c>
      <c r="L239">
        <v>38838</v>
      </c>
      <c r="M239">
        <v>1941.9</v>
      </c>
      <c r="N239">
        <v>36896.1</v>
      </c>
    </row>
    <row r="240" spans="1:14" x14ac:dyDescent="0.25">
      <c r="A240">
        <v>10239</v>
      </c>
      <c r="B240" s="4">
        <v>45165</v>
      </c>
      <c r="C240" t="s">
        <v>17</v>
      </c>
      <c r="D240" t="s">
        <v>27</v>
      </c>
      <c r="E240" t="s">
        <v>25</v>
      </c>
      <c r="F240" t="s">
        <v>16</v>
      </c>
      <c r="G240">
        <v>32</v>
      </c>
      <c r="H240" t="str">
        <f t="shared" si="3"/>
        <v>25-34</v>
      </c>
      <c r="I240">
        <v>5</v>
      </c>
      <c r="J240">
        <v>2113</v>
      </c>
      <c r="K240">
        <v>15</v>
      </c>
      <c r="L240">
        <v>10565</v>
      </c>
      <c r="M240">
        <v>1584.75</v>
      </c>
      <c r="N240">
        <v>8980.25</v>
      </c>
    </row>
    <row r="241" spans="1:14" x14ac:dyDescent="0.25">
      <c r="A241">
        <v>10240</v>
      </c>
      <c r="B241" s="4">
        <v>45166</v>
      </c>
      <c r="C241" t="s">
        <v>13</v>
      </c>
      <c r="D241" t="s">
        <v>27</v>
      </c>
      <c r="E241" t="s">
        <v>25</v>
      </c>
      <c r="F241" t="s">
        <v>31</v>
      </c>
      <c r="G241">
        <v>49</v>
      </c>
      <c r="H241" t="str">
        <f t="shared" si="3"/>
        <v>45-54</v>
      </c>
      <c r="I241">
        <v>3</v>
      </c>
      <c r="J241">
        <v>23220</v>
      </c>
      <c r="K241">
        <v>5</v>
      </c>
      <c r="L241">
        <v>69660</v>
      </c>
      <c r="M241">
        <v>3483</v>
      </c>
      <c r="N241">
        <v>66177</v>
      </c>
    </row>
    <row r="242" spans="1:14" x14ac:dyDescent="0.25">
      <c r="A242">
        <v>10241</v>
      </c>
      <c r="B242" s="4">
        <v>45167</v>
      </c>
      <c r="C242" t="s">
        <v>13</v>
      </c>
      <c r="D242" t="s">
        <v>14</v>
      </c>
      <c r="E242" t="s">
        <v>15</v>
      </c>
      <c r="F242" t="s">
        <v>24</v>
      </c>
      <c r="G242">
        <v>51</v>
      </c>
      <c r="H242" t="str">
        <f t="shared" si="3"/>
        <v>45-54</v>
      </c>
      <c r="I242">
        <v>7</v>
      </c>
      <c r="J242">
        <v>17497</v>
      </c>
      <c r="K242">
        <v>10</v>
      </c>
      <c r="L242">
        <v>122479</v>
      </c>
      <c r="M242">
        <v>12247.9</v>
      </c>
      <c r="N242">
        <v>110231.1</v>
      </c>
    </row>
    <row r="243" spans="1:14" x14ac:dyDescent="0.25">
      <c r="A243">
        <v>10242</v>
      </c>
      <c r="B243" s="4">
        <v>45168</v>
      </c>
      <c r="C243" t="s">
        <v>21</v>
      </c>
      <c r="D243" t="s">
        <v>29</v>
      </c>
      <c r="E243" t="s">
        <v>15</v>
      </c>
      <c r="F243" t="s">
        <v>16</v>
      </c>
      <c r="G243">
        <v>61</v>
      </c>
      <c r="H243" t="str">
        <f t="shared" si="3"/>
        <v>55+</v>
      </c>
      <c r="I243">
        <v>2</v>
      </c>
      <c r="J243">
        <v>11957</v>
      </c>
      <c r="K243">
        <v>5</v>
      </c>
      <c r="L243">
        <v>23914</v>
      </c>
      <c r="M243">
        <v>1195.7</v>
      </c>
      <c r="N243">
        <v>22718.3</v>
      </c>
    </row>
    <row r="244" spans="1:14" x14ac:dyDescent="0.25">
      <c r="A244">
        <v>10243</v>
      </c>
      <c r="B244" s="4">
        <v>45169</v>
      </c>
      <c r="C244" t="s">
        <v>13</v>
      </c>
      <c r="D244" t="s">
        <v>27</v>
      </c>
      <c r="E244" t="s">
        <v>25</v>
      </c>
      <c r="F244" t="s">
        <v>24</v>
      </c>
      <c r="G244">
        <v>27</v>
      </c>
      <c r="H244" t="str">
        <f t="shared" si="3"/>
        <v>25-34</v>
      </c>
      <c r="I244">
        <v>2</v>
      </c>
      <c r="J244">
        <v>24615</v>
      </c>
      <c r="K244">
        <v>0</v>
      </c>
      <c r="L244">
        <v>49230</v>
      </c>
      <c r="M244">
        <v>0</v>
      </c>
      <c r="N244">
        <v>49230</v>
      </c>
    </row>
    <row r="245" spans="1:14" x14ac:dyDescent="0.25">
      <c r="A245">
        <v>10244</v>
      </c>
      <c r="B245" s="4">
        <v>45170</v>
      </c>
      <c r="C245" t="s">
        <v>21</v>
      </c>
      <c r="D245" t="s">
        <v>29</v>
      </c>
      <c r="E245" t="s">
        <v>19</v>
      </c>
      <c r="F245" t="s">
        <v>24</v>
      </c>
      <c r="G245">
        <v>56</v>
      </c>
      <c r="H245" t="str">
        <f t="shared" si="3"/>
        <v>55+</v>
      </c>
      <c r="I245">
        <v>9</v>
      </c>
      <c r="J245">
        <v>26013</v>
      </c>
      <c r="K245">
        <v>5</v>
      </c>
      <c r="L245">
        <v>234117</v>
      </c>
      <c r="M245">
        <v>11705.85</v>
      </c>
      <c r="N245">
        <v>222411.15</v>
      </c>
    </row>
    <row r="246" spans="1:14" x14ac:dyDescent="0.25">
      <c r="A246">
        <v>10245</v>
      </c>
      <c r="B246" s="4">
        <v>45171</v>
      </c>
      <c r="C246" t="s">
        <v>13</v>
      </c>
      <c r="D246" t="s">
        <v>18</v>
      </c>
      <c r="E246" t="s">
        <v>15</v>
      </c>
      <c r="F246" t="s">
        <v>20</v>
      </c>
      <c r="G246">
        <v>40</v>
      </c>
      <c r="H246" t="str">
        <f t="shared" si="3"/>
        <v>35-44</v>
      </c>
      <c r="I246">
        <v>6</v>
      </c>
      <c r="J246">
        <v>17829</v>
      </c>
      <c r="K246">
        <v>15</v>
      </c>
      <c r="L246">
        <v>106974</v>
      </c>
      <c r="M246">
        <v>16046.1</v>
      </c>
      <c r="N246">
        <v>90927.9</v>
      </c>
    </row>
    <row r="247" spans="1:14" x14ac:dyDescent="0.25">
      <c r="A247">
        <v>10246</v>
      </c>
      <c r="B247" s="4">
        <v>45172</v>
      </c>
      <c r="C247" t="s">
        <v>21</v>
      </c>
      <c r="D247" t="s">
        <v>22</v>
      </c>
      <c r="E247" t="s">
        <v>25</v>
      </c>
      <c r="F247" t="s">
        <v>30</v>
      </c>
      <c r="G247">
        <v>64</v>
      </c>
      <c r="H247" t="str">
        <f t="shared" si="3"/>
        <v>55+</v>
      </c>
      <c r="I247">
        <v>3</v>
      </c>
      <c r="J247">
        <v>33508</v>
      </c>
      <c r="K247">
        <v>5</v>
      </c>
      <c r="L247">
        <v>100524</v>
      </c>
      <c r="M247">
        <v>5026.2</v>
      </c>
      <c r="N247">
        <v>95497.8</v>
      </c>
    </row>
    <row r="248" spans="1:14" x14ac:dyDescent="0.25">
      <c r="A248">
        <v>10247</v>
      </c>
      <c r="B248" s="4">
        <v>45173</v>
      </c>
      <c r="C248" t="s">
        <v>13</v>
      </c>
      <c r="D248" t="s">
        <v>29</v>
      </c>
      <c r="E248" t="s">
        <v>19</v>
      </c>
      <c r="F248" t="s">
        <v>28</v>
      </c>
      <c r="G248">
        <v>55</v>
      </c>
      <c r="H248" t="str">
        <f t="shared" si="3"/>
        <v>55+</v>
      </c>
      <c r="I248">
        <v>5</v>
      </c>
      <c r="J248">
        <v>25688</v>
      </c>
      <c r="K248">
        <v>10</v>
      </c>
      <c r="L248">
        <v>128440</v>
      </c>
      <c r="M248">
        <v>12844</v>
      </c>
      <c r="N248">
        <v>115596</v>
      </c>
    </row>
    <row r="249" spans="1:14" x14ac:dyDescent="0.25">
      <c r="A249">
        <v>10248</v>
      </c>
      <c r="B249" s="4">
        <v>45174</v>
      </c>
      <c r="C249" t="s">
        <v>17</v>
      </c>
      <c r="D249" t="s">
        <v>27</v>
      </c>
      <c r="E249" t="s">
        <v>25</v>
      </c>
      <c r="F249" t="s">
        <v>20</v>
      </c>
      <c r="G249">
        <v>54</v>
      </c>
      <c r="H249" t="str">
        <f t="shared" si="3"/>
        <v>45-54</v>
      </c>
      <c r="I249">
        <v>5</v>
      </c>
      <c r="J249">
        <v>41455</v>
      </c>
      <c r="K249">
        <v>15</v>
      </c>
      <c r="L249">
        <v>207275</v>
      </c>
      <c r="M249">
        <v>31091.25</v>
      </c>
      <c r="N249">
        <v>176183.75</v>
      </c>
    </row>
    <row r="250" spans="1:14" x14ac:dyDescent="0.25">
      <c r="A250">
        <v>10249</v>
      </c>
      <c r="B250" s="4">
        <v>45175</v>
      </c>
      <c r="C250" t="s">
        <v>13</v>
      </c>
      <c r="D250" t="s">
        <v>18</v>
      </c>
      <c r="E250" t="s">
        <v>32</v>
      </c>
      <c r="F250" t="s">
        <v>24</v>
      </c>
      <c r="G250">
        <v>28</v>
      </c>
      <c r="H250" t="str">
        <f t="shared" si="3"/>
        <v>25-34</v>
      </c>
      <c r="I250">
        <v>7</v>
      </c>
      <c r="J250">
        <v>27210</v>
      </c>
      <c r="K250">
        <v>15</v>
      </c>
      <c r="L250">
        <v>190470</v>
      </c>
      <c r="M250">
        <v>28570.5</v>
      </c>
      <c r="N250">
        <v>161899.5</v>
      </c>
    </row>
    <row r="251" spans="1:14" x14ac:dyDescent="0.25">
      <c r="A251">
        <v>10250</v>
      </c>
      <c r="B251" s="4">
        <v>45176</v>
      </c>
      <c r="C251" t="s">
        <v>13</v>
      </c>
      <c r="D251" t="s">
        <v>22</v>
      </c>
      <c r="E251" t="s">
        <v>19</v>
      </c>
      <c r="F251" t="s">
        <v>16</v>
      </c>
      <c r="G251">
        <v>57</v>
      </c>
      <c r="H251" t="str">
        <f t="shared" si="3"/>
        <v>55+</v>
      </c>
      <c r="I251">
        <v>5</v>
      </c>
      <c r="J251">
        <v>9315</v>
      </c>
      <c r="K251">
        <v>15</v>
      </c>
      <c r="L251">
        <v>46575</v>
      </c>
      <c r="M251">
        <v>6986.25</v>
      </c>
      <c r="N251">
        <v>39588.75</v>
      </c>
    </row>
    <row r="252" spans="1:14" x14ac:dyDescent="0.25">
      <c r="A252">
        <v>10251</v>
      </c>
      <c r="B252" s="4">
        <v>45177</v>
      </c>
      <c r="C252" t="s">
        <v>17</v>
      </c>
      <c r="D252" t="s">
        <v>27</v>
      </c>
      <c r="E252" t="s">
        <v>19</v>
      </c>
      <c r="F252" t="s">
        <v>23</v>
      </c>
      <c r="G252">
        <v>31</v>
      </c>
      <c r="H252" t="str">
        <f t="shared" si="3"/>
        <v>25-34</v>
      </c>
      <c r="I252">
        <v>4</v>
      </c>
      <c r="J252">
        <v>2783</v>
      </c>
      <c r="K252">
        <v>5</v>
      </c>
      <c r="L252">
        <v>11132</v>
      </c>
      <c r="M252">
        <v>556.6</v>
      </c>
      <c r="N252">
        <v>10575.4</v>
      </c>
    </row>
    <row r="253" spans="1:14" x14ac:dyDescent="0.25">
      <c r="A253">
        <v>10252</v>
      </c>
      <c r="B253" s="4">
        <v>45178</v>
      </c>
      <c r="C253" t="s">
        <v>13</v>
      </c>
      <c r="D253" t="s">
        <v>29</v>
      </c>
      <c r="E253" t="s">
        <v>15</v>
      </c>
      <c r="F253" t="s">
        <v>28</v>
      </c>
      <c r="G253">
        <v>37</v>
      </c>
      <c r="H253" t="str">
        <f t="shared" si="3"/>
        <v>35-44</v>
      </c>
      <c r="I253">
        <v>1</v>
      </c>
      <c r="J253">
        <v>19830</v>
      </c>
      <c r="K253">
        <v>10</v>
      </c>
      <c r="L253">
        <v>19830</v>
      </c>
      <c r="M253">
        <v>1983</v>
      </c>
      <c r="N253">
        <v>17847</v>
      </c>
    </row>
    <row r="254" spans="1:14" x14ac:dyDescent="0.25">
      <c r="A254">
        <v>10253</v>
      </c>
      <c r="B254" s="4">
        <v>45179</v>
      </c>
      <c r="C254" t="s">
        <v>21</v>
      </c>
      <c r="D254" t="s">
        <v>22</v>
      </c>
      <c r="E254" t="s">
        <v>19</v>
      </c>
      <c r="F254" t="s">
        <v>31</v>
      </c>
      <c r="G254">
        <v>63</v>
      </c>
      <c r="H254" t="str">
        <f t="shared" si="3"/>
        <v>55+</v>
      </c>
      <c r="I254">
        <v>3</v>
      </c>
      <c r="J254">
        <v>28832</v>
      </c>
      <c r="K254">
        <v>20</v>
      </c>
      <c r="L254">
        <v>86496</v>
      </c>
      <c r="M254">
        <v>17299.2</v>
      </c>
      <c r="N254">
        <v>69196.800000000003</v>
      </c>
    </row>
    <row r="255" spans="1:14" x14ac:dyDescent="0.25">
      <c r="A255">
        <v>10254</v>
      </c>
      <c r="B255" s="4">
        <v>45180</v>
      </c>
      <c r="C255" t="s">
        <v>33</v>
      </c>
      <c r="D255" t="s">
        <v>27</v>
      </c>
      <c r="E255" t="s">
        <v>15</v>
      </c>
      <c r="F255" t="s">
        <v>30</v>
      </c>
      <c r="G255">
        <v>52</v>
      </c>
      <c r="H255" t="str">
        <f t="shared" si="3"/>
        <v>45-54</v>
      </c>
      <c r="I255">
        <v>7</v>
      </c>
      <c r="J255">
        <v>30697</v>
      </c>
      <c r="K255">
        <v>15</v>
      </c>
      <c r="L255">
        <v>214879</v>
      </c>
      <c r="M255">
        <v>32231.85</v>
      </c>
      <c r="N255">
        <v>182647.15</v>
      </c>
    </row>
    <row r="256" spans="1:14" x14ac:dyDescent="0.25">
      <c r="A256">
        <v>10255</v>
      </c>
      <c r="B256" s="4">
        <v>45181</v>
      </c>
      <c r="C256" t="s">
        <v>13</v>
      </c>
      <c r="D256" t="s">
        <v>22</v>
      </c>
      <c r="E256" t="s">
        <v>19</v>
      </c>
      <c r="F256" t="s">
        <v>16</v>
      </c>
      <c r="G256">
        <v>53</v>
      </c>
      <c r="H256" t="str">
        <f t="shared" si="3"/>
        <v>45-54</v>
      </c>
      <c r="I256">
        <v>7</v>
      </c>
      <c r="J256">
        <v>37975</v>
      </c>
      <c r="K256">
        <v>15</v>
      </c>
      <c r="L256">
        <v>265825</v>
      </c>
      <c r="M256">
        <v>39873.75</v>
      </c>
      <c r="N256">
        <v>225951.25</v>
      </c>
    </row>
    <row r="257" spans="1:14" x14ac:dyDescent="0.25">
      <c r="A257">
        <v>10256</v>
      </c>
      <c r="B257" s="4">
        <v>45182</v>
      </c>
      <c r="C257" t="s">
        <v>17</v>
      </c>
      <c r="D257" t="s">
        <v>18</v>
      </c>
      <c r="E257" t="s">
        <v>15</v>
      </c>
      <c r="F257" t="s">
        <v>31</v>
      </c>
      <c r="G257">
        <v>25</v>
      </c>
      <c r="H257" t="str">
        <f t="shared" si="3"/>
        <v>25-34</v>
      </c>
      <c r="I257">
        <v>6</v>
      </c>
      <c r="J257">
        <v>3433</v>
      </c>
      <c r="K257">
        <v>5</v>
      </c>
      <c r="L257">
        <v>20598</v>
      </c>
      <c r="M257">
        <v>1029.9000000000001</v>
      </c>
      <c r="N257">
        <v>19568.099999999999</v>
      </c>
    </row>
    <row r="258" spans="1:14" x14ac:dyDescent="0.25">
      <c r="A258">
        <v>10257</v>
      </c>
      <c r="B258" s="4">
        <v>45183</v>
      </c>
      <c r="C258" t="s">
        <v>21</v>
      </c>
      <c r="D258" t="s">
        <v>29</v>
      </c>
      <c r="E258" t="s">
        <v>32</v>
      </c>
      <c r="F258" t="s">
        <v>28</v>
      </c>
      <c r="G258">
        <v>25</v>
      </c>
      <c r="H258" t="str">
        <f t="shared" si="3"/>
        <v>25-34</v>
      </c>
      <c r="I258">
        <v>3</v>
      </c>
      <c r="J258">
        <v>17323</v>
      </c>
      <c r="K258">
        <v>10</v>
      </c>
      <c r="L258">
        <v>51969</v>
      </c>
      <c r="M258">
        <v>5196.8999999999996</v>
      </c>
      <c r="N258">
        <v>46772.1</v>
      </c>
    </row>
    <row r="259" spans="1:14" x14ac:dyDescent="0.25">
      <c r="A259">
        <v>10258</v>
      </c>
      <c r="B259" s="4">
        <v>45184</v>
      </c>
      <c r="C259" t="s">
        <v>21</v>
      </c>
      <c r="D259" t="s">
        <v>14</v>
      </c>
      <c r="E259" t="s">
        <v>32</v>
      </c>
      <c r="F259" t="s">
        <v>20</v>
      </c>
      <c r="G259">
        <v>19</v>
      </c>
      <c r="H259" t="str">
        <f t="shared" ref="H259:H322" si="4">IF(G259&lt;25,"18-24",IF(G259&lt;35,"25-34",IF(G259&lt;45,"35-44",IF(G259&lt;55,"45-54","55+"))))</f>
        <v>18-24</v>
      </c>
      <c r="I259">
        <v>9</v>
      </c>
      <c r="J259">
        <v>856</v>
      </c>
      <c r="K259">
        <v>20</v>
      </c>
      <c r="L259">
        <v>7704</v>
      </c>
      <c r="M259">
        <v>1540.8</v>
      </c>
      <c r="N259">
        <v>6163.2</v>
      </c>
    </row>
    <row r="260" spans="1:14" x14ac:dyDescent="0.25">
      <c r="A260">
        <v>10259</v>
      </c>
      <c r="B260" s="4">
        <v>45185</v>
      </c>
      <c r="C260" t="s">
        <v>33</v>
      </c>
      <c r="D260" t="s">
        <v>27</v>
      </c>
      <c r="E260" t="s">
        <v>15</v>
      </c>
      <c r="F260" t="s">
        <v>31</v>
      </c>
      <c r="G260">
        <v>56</v>
      </c>
      <c r="H260" t="str">
        <f t="shared" si="4"/>
        <v>55+</v>
      </c>
      <c r="I260">
        <v>3</v>
      </c>
      <c r="J260">
        <v>4338</v>
      </c>
      <c r="K260">
        <v>0</v>
      </c>
      <c r="L260">
        <v>13014</v>
      </c>
      <c r="M260">
        <v>0</v>
      </c>
      <c r="N260">
        <v>13014</v>
      </c>
    </row>
    <row r="261" spans="1:14" x14ac:dyDescent="0.25">
      <c r="A261">
        <v>10260</v>
      </c>
      <c r="B261" s="4">
        <v>45186</v>
      </c>
      <c r="C261" t="s">
        <v>13</v>
      </c>
      <c r="D261" t="s">
        <v>27</v>
      </c>
      <c r="E261" t="s">
        <v>32</v>
      </c>
      <c r="F261" t="s">
        <v>20</v>
      </c>
      <c r="G261">
        <v>21</v>
      </c>
      <c r="H261" t="str">
        <f t="shared" si="4"/>
        <v>18-24</v>
      </c>
      <c r="I261">
        <v>6</v>
      </c>
      <c r="J261">
        <v>42621</v>
      </c>
      <c r="K261">
        <v>5</v>
      </c>
      <c r="L261">
        <v>255726</v>
      </c>
      <c r="M261">
        <v>12786.3</v>
      </c>
      <c r="N261">
        <v>242939.7</v>
      </c>
    </row>
    <row r="262" spans="1:14" x14ac:dyDescent="0.25">
      <c r="A262">
        <v>10261</v>
      </c>
      <c r="B262" s="4">
        <v>45187</v>
      </c>
      <c r="C262" t="s">
        <v>17</v>
      </c>
      <c r="D262" t="s">
        <v>29</v>
      </c>
      <c r="E262" t="s">
        <v>19</v>
      </c>
      <c r="F262" t="s">
        <v>23</v>
      </c>
      <c r="G262">
        <v>64</v>
      </c>
      <c r="H262" t="str">
        <f t="shared" si="4"/>
        <v>55+</v>
      </c>
      <c r="I262">
        <v>3</v>
      </c>
      <c r="J262">
        <v>34252</v>
      </c>
      <c r="K262">
        <v>0</v>
      </c>
      <c r="L262">
        <v>102756</v>
      </c>
      <c r="M262">
        <v>0</v>
      </c>
      <c r="N262">
        <v>102756</v>
      </c>
    </row>
    <row r="263" spans="1:14" x14ac:dyDescent="0.25">
      <c r="A263">
        <v>10262</v>
      </c>
      <c r="B263" s="4">
        <v>45188</v>
      </c>
      <c r="C263" t="s">
        <v>21</v>
      </c>
      <c r="D263" t="s">
        <v>18</v>
      </c>
      <c r="E263" t="s">
        <v>15</v>
      </c>
      <c r="F263" t="s">
        <v>20</v>
      </c>
      <c r="G263">
        <v>24</v>
      </c>
      <c r="H263" t="str">
        <f t="shared" si="4"/>
        <v>18-24</v>
      </c>
      <c r="I263">
        <v>7</v>
      </c>
      <c r="J263">
        <v>25559</v>
      </c>
      <c r="K263">
        <v>10</v>
      </c>
      <c r="L263">
        <v>178913</v>
      </c>
      <c r="M263">
        <v>17891.3</v>
      </c>
      <c r="N263">
        <v>161021.70000000001</v>
      </c>
    </row>
    <row r="264" spans="1:14" x14ac:dyDescent="0.25">
      <c r="A264">
        <v>10263</v>
      </c>
      <c r="B264" s="4">
        <v>45189</v>
      </c>
      <c r="C264" t="s">
        <v>33</v>
      </c>
      <c r="D264" t="s">
        <v>29</v>
      </c>
      <c r="E264" t="s">
        <v>25</v>
      </c>
      <c r="F264" t="s">
        <v>24</v>
      </c>
      <c r="G264">
        <v>21</v>
      </c>
      <c r="H264" t="str">
        <f t="shared" si="4"/>
        <v>18-24</v>
      </c>
      <c r="I264">
        <v>1</v>
      </c>
      <c r="J264">
        <v>40090</v>
      </c>
      <c r="K264">
        <v>0</v>
      </c>
      <c r="L264">
        <v>40090</v>
      </c>
      <c r="M264">
        <v>0</v>
      </c>
      <c r="N264">
        <v>40090</v>
      </c>
    </row>
    <row r="265" spans="1:14" x14ac:dyDescent="0.25">
      <c r="A265">
        <v>10264</v>
      </c>
      <c r="B265" s="4">
        <v>45190</v>
      </c>
      <c r="C265" t="s">
        <v>33</v>
      </c>
      <c r="D265" t="s">
        <v>18</v>
      </c>
      <c r="E265" t="s">
        <v>19</v>
      </c>
      <c r="F265" t="s">
        <v>28</v>
      </c>
      <c r="G265">
        <v>26</v>
      </c>
      <c r="H265" t="str">
        <f t="shared" si="4"/>
        <v>25-34</v>
      </c>
      <c r="I265">
        <v>5</v>
      </c>
      <c r="J265">
        <v>12247</v>
      </c>
      <c r="K265">
        <v>5</v>
      </c>
      <c r="L265">
        <v>61235</v>
      </c>
      <c r="M265">
        <v>3061.75</v>
      </c>
      <c r="N265">
        <v>58173.25</v>
      </c>
    </row>
    <row r="266" spans="1:14" x14ac:dyDescent="0.25">
      <c r="A266">
        <v>10265</v>
      </c>
      <c r="B266" s="4">
        <v>45191</v>
      </c>
      <c r="C266" t="s">
        <v>33</v>
      </c>
      <c r="D266" t="s">
        <v>22</v>
      </c>
      <c r="E266" t="s">
        <v>25</v>
      </c>
      <c r="F266" t="s">
        <v>30</v>
      </c>
      <c r="G266">
        <v>54</v>
      </c>
      <c r="H266" t="str">
        <f t="shared" si="4"/>
        <v>45-54</v>
      </c>
      <c r="I266">
        <v>6</v>
      </c>
      <c r="J266">
        <v>35062</v>
      </c>
      <c r="K266">
        <v>10</v>
      </c>
      <c r="L266">
        <v>210372</v>
      </c>
      <c r="M266">
        <v>21037.200000000001</v>
      </c>
      <c r="N266">
        <v>189334.8</v>
      </c>
    </row>
    <row r="267" spans="1:14" x14ac:dyDescent="0.25">
      <c r="A267">
        <v>10266</v>
      </c>
      <c r="B267" s="4">
        <v>45192</v>
      </c>
      <c r="C267" t="s">
        <v>21</v>
      </c>
      <c r="D267" t="s">
        <v>27</v>
      </c>
      <c r="E267" t="s">
        <v>32</v>
      </c>
      <c r="F267" t="s">
        <v>31</v>
      </c>
      <c r="G267">
        <v>38</v>
      </c>
      <c r="H267" t="str">
        <f t="shared" si="4"/>
        <v>35-44</v>
      </c>
      <c r="I267">
        <v>9</v>
      </c>
      <c r="J267">
        <v>49464</v>
      </c>
      <c r="K267">
        <v>20</v>
      </c>
      <c r="L267">
        <v>445176</v>
      </c>
      <c r="M267">
        <v>89035.199999999997</v>
      </c>
      <c r="N267">
        <v>356140.79999999999</v>
      </c>
    </row>
    <row r="268" spans="1:14" x14ac:dyDescent="0.25">
      <c r="A268">
        <v>10267</v>
      </c>
      <c r="B268" s="4">
        <v>45193</v>
      </c>
      <c r="C268" t="s">
        <v>13</v>
      </c>
      <c r="D268" t="s">
        <v>27</v>
      </c>
      <c r="E268" t="s">
        <v>32</v>
      </c>
      <c r="F268" t="s">
        <v>20</v>
      </c>
      <c r="G268">
        <v>60</v>
      </c>
      <c r="H268" t="str">
        <f t="shared" si="4"/>
        <v>55+</v>
      </c>
      <c r="I268">
        <v>9</v>
      </c>
      <c r="J268">
        <v>2397</v>
      </c>
      <c r="K268">
        <v>15</v>
      </c>
      <c r="L268">
        <v>21573</v>
      </c>
      <c r="M268">
        <v>3235.95</v>
      </c>
      <c r="N268">
        <v>18337.05</v>
      </c>
    </row>
    <row r="269" spans="1:14" x14ac:dyDescent="0.25">
      <c r="A269">
        <v>10268</v>
      </c>
      <c r="B269" s="4">
        <v>45194</v>
      </c>
      <c r="C269" t="s">
        <v>17</v>
      </c>
      <c r="D269" t="s">
        <v>18</v>
      </c>
      <c r="E269" t="s">
        <v>32</v>
      </c>
      <c r="F269" t="s">
        <v>28</v>
      </c>
      <c r="G269">
        <v>35</v>
      </c>
      <c r="H269" t="str">
        <f t="shared" si="4"/>
        <v>35-44</v>
      </c>
      <c r="I269">
        <v>7</v>
      </c>
      <c r="J269">
        <v>9488</v>
      </c>
      <c r="K269">
        <v>5</v>
      </c>
      <c r="L269">
        <v>66416</v>
      </c>
      <c r="M269">
        <v>3320.8</v>
      </c>
      <c r="N269">
        <v>63095.199999999997</v>
      </c>
    </row>
    <row r="270" spans="1:14" x14ac:dyDescent="0.25">
      <c r="A270">
        <v>10269</v>
      </c>
      <c r="B270" s="4">
        <v>45195</v>
      </c>
      <c r="C270" t="s">
        <v>17</v>
      </c>
      <c r="D270" t="s">
        <v>29</v>
      </c>
      <c r="E270" t="s">
        <v>15</v>
      </c>
      <c r="F270" t="s">
        <v>20</v>
      </c>
      <c r="G270">
        <v>32</v>
      </c>
      <c r="H270" t="str">
        <f t="shared" si="4"/>
        <v>25-34</v>
      </c>
      <c r="I270">
        <v>5</v>
      </c>
      <c r="J270">
        <v>37790</v>
      </c>
      <c r="K270">
        <v>20</v>
      </c>
      <c r="L270">
        <v>188950</v>
      </c>
      <c r="M270">
        <v>37790</v>
      </c>
      <c r="N270">
        <v>151160</v>
      </c>
    </row>
    <row r="271" spans="1:14" x14ac:dyDescent="0.25">
      <c r="A271">
        <v>10270</v>
      </c>
      <c r="B271" s="4">
        <v>45196</v>
      </c>
      <c r="C271" t="s">
        <v>17</v>
      </c>
      <c r="D271" t="s">
        <v>14</v>
      </c>
      <c r="E271" t="s">
        <v>25</v>
      </c>
      <c r="F271" t="s">
        <v>23</v>
      </c>
      <c r="G271">
        <v>33</v>
      </c>
      <c r="H271" t="str">
        <f t="shared" si="4"/>
        <v>25-34</v>
      </c>
      <c r="I271">
        <v>9</v>
      </c>
      <c r="J271">
        <v>48042</v>
      </c>
      <c r="K271">
        <v>5</v>
      </c>
      <c r="L271">
        <v>432378</v>
      </c>
      <c r="M271">
        <v>21618.9</v>
      </c>
      <c r="N271">
        <v>410759.1</v>
      </c>
    </row>
    <row r="272" spans="1:14" x14ac:dyDescent="0.25">
      <c r="A272">
        <v>10271</v>
      </c>
      <c r="B272" s="4">
        <v>45197</v>
      </c>
      <c r="C272" t="s">
        <v>13</v>
      </c>
      <c r="D272" t="s">
        <v>27</v>
      </c>
      <c r="E272" t="s">
        <v>15</v>
      </c>
      <c r="F272" t="s">
        <v>26</v>
      </c>
      <c r="G272">
        <v>53</v>
      </c>
      <c r="H272" t="str">
        <f t="shared" si="4"/>
        <v>45-54</v>
      </c>
      <c r="I272">
        <v>4</v>
      </c>
      <c r="J272">
        <v>13635</v>
      </c>
      <c r="K272">
        <v>20</v>
      </c>
      <c r="L272">
        <v>54540</v>
      </c>
      <c r="M272">
        <v>10908</v>
      </c>
      <c r="N272">
        <v>43632</v>
      </c>
    </row>
    <row r="273" spans="1:14" x14ac:dyDescent="0.25">
      <c r="A273">
        <v>10272</v>
      </c>
      <c r="B273" s="4">
        <v>45198</v>
      </c>
      <c r="C273" t="s">
        <v>13</v>
      </c>
      <c r="D273" t="s">
        <v>27</v>
      </c>
      <c r="E273" t="s">
        <v>15</v>
      </c>
      <c r="F273" t="s">
        <v>26</v>
      </c>
      <c r="G273">
        <v>61</v>
      </c>
      <c r="H273" t="str">
        <f t="shared" si="4"/>
        <v>55+</v>
      </c>
      <c r="I273">
        <v>6</v>
      </c>
      <c r="J273">
        <v>16750</v>
      </c>
      <c r="K273">
        <v>0</v>
      </c>
      <c r="L273">
        <v>100500</v>
      </c>
      <c r="M273">
        <v>0</v>
      </c>
      <c r="N273">
        <v>100500</v>
      </c>
    </row>
    <row r="274" spans="1:14" x14ac:dyDescent="0.25">
      <c r="A274">
        <v>10273</v>
      </c>
      <c r="B274" s="4">
        <v>45199</v>
      </c>
      <c r="C274" t="s">
        <v>13</v>
      </c>
      <c r="D274" t="s">
        <v>29</v>
      </c>
      <c r="E274" t="s">
        <v>19</v>
      </c>
      <c r="F274" t="s">
        <v>30</v>
      </c>
      <c r="G274">
        <v>61</v>
      </c>
      <c r="H274" t="str">
        <f t="shared" si="4"/>
        <v>55+</v>
      </c>
      <c r="I274">
        <v>2</v>
      </c>
      <c r="J274">
        <v>28306</v>
      </c>
      <c r="K274">
        <v>0</v>
      </c>
      <c r="L274">
        <v>56612</v>
      </c>
      <c r="M274">
        <v>0</v>
      </c>
      <c r="N274">
        <v>56612</v>
      </c>
    </row>
    <row r="275" spans="1:14" x14ac:dyDescent="0.25">
      <c r="A275">
        <v>10274</v>
      </c>
      <c r="B275" s="4">
        <v>45200</v>
      </c>
      <c r="C275" t="s">
        <v>33</v>
      </c>
      <c r="D275" t="s">
        <v>29</v>
      </c>
      <c r="E275" t="s">
        <v>32</v>
      </c>
      <c r="F275" t="s">
        <v>16</v>
      </c>
      <c r="G275">
        <v>39</v>
      </c>
      <c r="H275" t="str">
        <f t="shared" si="4"/>
        <v>35-44</v>
      </c>
      <c r="I275">
        <v>8</v>
      </c>
      <c r="J275">
        <v>45228</v>
      </c>
      <c r="K275">
        <v>5</v>
      </c>
      <c r="L275">
        <v>361824</v>
      </c>
      <c r="M275">
        <v>18091.2</v>
      </c>
      <c r="N275">
        <v>343732.8</v>
      </c>
    </row>
    <row r="276" spans="1:14" x14ac:dyDescent="0.25">
      <c r="A276">
        <v>10275</v>
      </c>
      <c r="B276" s="4">
        <v>45201</v>
      </c>
      <c r="C276" t="s">
        <v>21</v>
      </c>
      <c r="D276" t="s">
        <v>18</v>
      </c>
      <c r="E276" t="s">
        <v>19</v>
      </c>
      <c r="F276" t="s">
        <v>24</v>
      </c>
      <c r="G276">
        <v>61</v>
      </c>
      <c r="H276" t="str">
        <f t="shared" si="4"/>
        <v>55+</v>
      </c>
      <c r="I276">
        <v>3</v>
      </c>
      <c r="J276">
        <v>15364</v>
      </c>
      <c r="K276">
        <v>20</v>
      </c>
      <c r="L276">
        <v>46092</v>
      </c>
      <c r="M276">
        <v>9218.4</v>
      </c>
      <c r="N276">
        <v>36873.599999999999</v>
      </c>
    </row>
    <row r="277" spans="1:14" x14ac:dyDescent="0.25">
      <c r="A277">
        <v>10276</v>
      </c>
      <c r="B277" s="4">
        <v>45202</v>
      </c>
      <c r="C277" t="s">
        <v>17</v>
      </c>
      <c r="D277" t="s">
        <v>27</v>
      </c>
      <c r="E277" t="s">
        <v>32</v>
      </c>
      <c r="F277" t="s">
        <v>23</v>
      </c>
      <c r="G277">
        <v>21</v>
      </c>
      <c r="H277" t="str">
        <f t="shared" si="4"/>
        <v>18-24</v>
      </c>
      <c r="I277">
        <v>8</v>
      </c>
      <c r="J277">
        <v>48512</v>
      </c>
      <c r="K277">
        <v>10</v>
      </c>
      <c r="L277">
        <v>388096</v>
      </c>
      <c r="M277">
        <v>38809.599999999999</v>
      </c>
      <c r="N277">
        <v>349286.40000000002</v>
      </c>
    </row>
    <row r="278" spans="1:14" x14ac:dyDescent="0.25">
      <c r="A278">
        <v>10277</v>
      </c>
      <c r="B278" s="4">
        <v>45203</v>
      </c>
      <c r="C278" t="s">
        <v>21</v>
      </c>
      <c r="D278" t="s">
        <v>27</v>
      </c>
      <c r="E278" t="s">
        <v>25</v>
      </c>
      <c r="F278" t="s">
        <v>16</v>
      </c>
      <c r="G278">
        <v>64</v>
      </c>
      <c r="H278" t="str">
        <f t="shared" si="4"/>
        <v>55+</v>
      </c>
      <c r="I278">
        <v>7</v>
      </c>
      <c r="J278">
        <v>19631</v>
      </c>
      <c r="K278">
        <v>10</v>
      </c>
      <c r="L278">
        <v>137417</v>
      </c>
      <c r="M278">
        <v>13741.7</v>
      </c>
      <c r="N278">
        <v>123675.3</v>
      </c>
    </row>
    <row r="279" spans="1:14" x14ac:dyDescent="0.25">
      <c r="A279">
        <v>10278</v>
      </c>
      <c r="B279" s="4">
        <v>45204</v>
      </c>
      <c r="C279" t="s">
        <v>33</v>
      </c>
      <c r="D279" t="s">
        <v>18</v>
      </c>
      <c r="E279" t="s">
        <v>32</v>
      </c>
      <c r="F279" t="s">
        <v>24</v>
      </c>
      <c r="G279">
        <v>64</v>
      </c>
      <c r="H279" t="str">
        <f t="shared" si="4"/>
        <v>55+</v>
      </c>
      <c r="I279">
        <v>1</v>
      </c>
      <c r="J279">
        <v>29415</v>
      </c>
      <c r="K279">
        <v>0</v>
      </c>
      <c r="L279">
        <v>29415</v>
      </c>
      <c r="M279">
        <v>0</v>
      </c>
      <c r="N279">
        <v>29415</v>
      </c>
    </row>
    <row r="280" spans="1:14" x14ac:dyDescent="0.25">
      <c r="A280">
        <v>10279</v>
      </c>
      <c r="B280" s="4">
        <v>45205</v>
      </c>
      <c r="C280" t="s">
        <v>21</v>
      </c>
      <c r="D280" t="s">
        <v>27</v>
      </c>
      <c r="E280" t="s">
        <v>32</v>
      </c>
      <c r="F280" t="s">
        <v>23</v>
      </c>
      <c r="G280">
        <v>20</v>
      </c>
      <c r="H280" t="str">
        <f t="shared" si="4"/>
        <v>18-24</v>
      </c>
      <c r="I280">
        <v>5</v>
      </c>
      <c r="J280">
        <v>5400</v>
      </c>
      <c r="K280">
        <v>0</v>
      </c>
      <c r="L280">
        <v>27000</v>
      </c>
      <c r="M280">
        <v>0</v>
      </c>
      <c r="N280">
        <v>27000</v>
      </c>
    </row>
    <row r="281" spans="1:14" x14ac:dyDescent="0.25">
      <c r="A281">
        <v>10280</v>
      </c>
      <c r="B281" s="4">
        <v>45206</v>
      </c>
      <c r="C281" t="s">
        <v>13</v>
      </c>
      <c r="D281" t="s">
        <v>18</v>
      </c>
      <c r="E281" t="s">
        <v>15</v>
      </c>
      <c r="F281" t="s">
        <v>23</v>
      </c>
      <c r="G281">
        <v>18</v>
      </c>
      <c r="H281" t="str">
        <f t="shared" si="4"/>
        <v>18-24</v>
      </c>
      <c r="I281">
        <v>3</v>
      </c>
      <c r="J281">
        <v>21637</v>
      </c>
      <c r="K281">
        <v>5</v>
      </c>
      <c r="L281">
        <v>64911</v>
      </c>
      <c r="M281">
        <v>3245.55</v>
      </c>
      <c r="N281">
        <v>61665.45</v>
      </c>
    </row>
    <row r="282" spans="1:14" x14ac:dyDescent="0.25">
      <c r="A282">
        <v>10281</v>
      </c>
      <c r="B282" s="4">
        <v>45207</v>
      </c>
      <c r="C282" t="s">
        <v>21</v>
      </c>
      <c r="D282" t="s">
        <v>27</v>
      </c>
      <c r="E282" t="s">
        <v>32</v>
      </c>
      <c r="F282" t="s">
        <v>16</v>
      </c>
      <c r="G282">
        <v>35</v>
      </c>
      <c r="H282" t="str">
        <f t="shared" si="4"/>
        <v>35-44</v>
      </c>
      <c r="I282">
        <v>2</v>
      </c>
      <c r="J282">
        <v>24757</v>
      </c>
      <c r="K282">
        <v>10</v>
      </c>
      <c r="L282">
        <v>49514</v>
      </c>
      <c r="M282">
        <v>4951.3999999999996</v>
      </c>
      <c r="N282">
        <v>44562.6</v>
      </c>
    </row>
    <row r="283" spans="1:14" x14ac:dyDescent="0.25">
      <c r="A283">
        <v>10282</v>
      </c>
      <c r="B283" s="4">
        <v>45208</v>
      </c>
      <c r="C283" t="s">
        <v>17</v>
      </c>
      <c r="D283" t="s">
        <v>14</v>
      </c>
      <c r="E283" t="s">
        <v>32</v>
      </c>
      <c r="F283" t="s">
        <v>20</v>
      </c>
      <c r="G283">
        <v>36</v>
      </c>
      <c r="H283" t="str">
        <f t="shared" si="4"/>
        <v>35-44</v>
      </c>
      <c r="I283">
        <v>2</v>
      </c>
      <c r="J283">
        <v>2331</v>
      </c>
      <c r="K283">
        <v>15</v>
      </c>
      <c r="L283">
        <v>4662</v>
      </c>
      <c r="M283">
        <v>699.3</v>
      </c>
      <c r="N283">
        <v>3962.7</v>
      </c>
    </row>
    <row r="284" spans="1:14" x14ac:dyDescent="0.25">
      <c r="A284">
        <v>10283</v>
      </c>
      <c r="B284" s="4">
        <v>45209</v>
      </c>
      <c r="C284" t="s">
        <v>33</v>
      </c>
      <c r="D284" t="s">
        <v>14</v>
      </c>
      <c r="E284" t="s">
        <v>32</v>
      </c>
      <c r="F284" t="s">
        <v>31</v>
      </c>
      <c r="G284">
        <v>63</v>
      </c>
      <c r="H284" t="str">
        <f t="shared" si="4"/>
        <v>55+</v>
      </c>
      <c r="I284">
        <v>4</v>
      </c>
      <c r="J284">
        <v>41696</v>
      </c>
      <c r="K284">
        <v>20</v>
      </c>
      <c r="L284">
        <v>166784</v>
      </c>
      <c r="M284">
        <v>33356.800000000003</v>
      </c>
      <c r="N284">
        <v>133427.20000000001</v>
      </c>
    </row>
    <row r="285" spans="1:14" x14ac:dyDescent="0.25">
      <c r="A285">
        <v>10284</v>
      </c>
      <c r="B285" s="4">
        <v>45210</v>
      </c>
      <c r="C285" t="s">
        <v>17</v>
      </c>
      <c r="D285" t="s">
        <v>27</v>
      </c>
      <c r="E285" t="s">
        <v>32</v>
      </c>
      <c r="F285" t="s">
        <v>31</v>
      </c>
      <c r="G285">
        <v>19</v>
      </c>
      <c r="H285" t="str">
        <f t="shared" si="4"/>
        <v>18-24</v>
      </c>
      <c r="I285">
        <v>2</v>
      </c>
      <c r="J285">
        <v>40126</v>
      </c>
      <c r="K285">
        <v>20</v>
      </c>
      <c r="L285">
        <v>80252</v>
      </c>
      <c r="M285">
        <v>16050.4</v>
      </c>
      <c r="N285">
        <v>64201.599999999999</v>
      </c>
    </row>
    <row r="286" spans="1:14" x14ac:dyDescent="0.25">
      <c r="A286">
        <v>10285</v>
      </c>
      <c r="B286" s="4">
        <v>45211</v>
      </c>
      <c r="C286" t="s">
        <v>21</v>
      </c>
      <c r="D286" t="s">
        <v>18</v>
      </c>
      <c r="E286" t="s">
        <v>25</v>
      </c>
      <c r="F286" t="s">
        <v>31</v>
      </c>
      <c r="G286">
        <v>45</v>
      </c>
      <c r="H286" t="str">
        <f t="shared" si="4"/>
        <v>45-54</v>
      </c>
      <c r="I286">
        <v>6</v>
      </c>
      <c r="J286">
        <v>18249</v>
      </c>
      <c r="K286">
        <v>15</v>
      </c>
      <c r="L286">
        <v>109494</v>
      </c>
      <c r="M286">
        <v>16424.099999999999</v>
      </c>
      <c r="N286">
        <v>93069.9</v>
      </c>
    </row>
    <row r="287" spans="1:14" x14ac:dyDescent="0.25">
      <c r="A287">
        <v>10286</v>
      </c>
      <c r="B287" s="4">
        <v>45212</v>
      </c>
      <c r="C287" t="s">
        <v>33</v>
      </c>
      <c r="D287" t="s">
        <v>29</v>
      </c>
      <c r="E287" t="s">
        <v>25</v>
      </c>
      <c r="F287" t="s">
        <v>28</v>
      </c>
      <c r="G287">
        <v>50</v>
      </c>
      <c r="H287" t="str">
        <f t="shared" si="4"/>
        <v>45-54</v>
      </c>
      <c r="I287">
        <v>3</v>
      </c>
      <c r="J287">
        <v>35037</v>
      </c>
      <c r="K287">
        <v>0</v>
      </c>
      <c r="L287">
        <v>105111</v>
      </c>
      <c r="M287">
        <v>0</v>
      </c>
      <c r="N287">
        <v>105111</v>
      </c>
    </row>
    <row r="288" spans="1:14" x14ac:dyDescent="0.25">
      <c r="A288">
        <v>10287</v>
      </c>
      <c r="B288" s="4">
        <v>45213</v>
      </c>
      <c r="C288" t="s">
        <v>33</v>
      </c>
      <c r="D288" t="s">
        <v>14</v>
      </c>
      <c r="E288" t="s">
        <v>19</v>
      </c>
      <c r="F288" t="s">
        <v>16</v>
      </c>
      <c r="G288">
        <v>37</v>
      </c>
      <c r="H288" t="str">
        <f t="shared" si="4"/>
        <v>35-44</v>
      </c>
      <c r="I288">
        <v>3</v>
      </c>
      <c r="J288">
        <v>49867</v>
      </c>
      <c r="K288">
        <v>5</v>
      </c>
      <c r="L288">
        <v>149601</v>
      </c>
      <c r="M288">
        <v>7480.05</v>
      </c>
      <c r="N288">
        <v>142120.95000000001</v>
      </c>
    </row>
    <row r="289" spans="1:14" x14ac:dyDescent="0.25">
      <c r="A289">
        <v>10288</v>
      </c>
      <c r="B289" s="4">
        <v>45214</v>
      </c>
      <c r="C289" t="s">
        <v>21</v>
      </c>
      <c r="D289" t="s">
        <v>18</v>
      </c>
      <c r="E289" t="s">
        <v>32</v>
      </c>
      <c r="F289" t="s">
        <v>24</v>
      </c>
      <c r="G289">
        <v>38</v>
      </c>
      <c r="H289" t="str">
        <f t="shared" si="4"/>
        <v>35-44</v>
      </c>
      <c r="I289">
        <v>9</v>
      </c>
      <c r="J289">
        <v>19024</v>
      </c>
      <c r="K289">
        <v>20</v>
      </c>
      <c r="L289">
        <v>171216</v>
      </c>
      <c r="M289">
        <v>34243.199999999997</v>
      </c>
      <c r="N289">
        <v>136972.79999999999</v>
      </c>
    </row>
    <row r="290" spans="1:14" x14ac:dyDescent="0.25">
      <c r="A290">
        <v>10289</v>
      </c>
      <c r="B290" s="4">
        <v>45215</v>
      </c>
      <c r="C290" t="s">
        <v>13</v>
      </c>
      <c r="D290" t="s">
        <v>29</v>
      </c>
      <c r="E290" t="s">
        <v>15</v>
      </c>
      <c r="F290" t="s">
        <v>23</v>
      </c>
      <c r="G290">
        <v>50</v>
      </c>
      <c r="H290" t="str">
        <f t="shared" si="4"/>
        <v>45-54</v>
      </c>
      <c r="I290">
        <v>9</v>
      </c>
      <c r="J290">
        <v>9335</v>
      </c>
      <c r="K290">
        <v>15</v>
      </c>
      <c r="L290">
        <v>84015</v>
      </c>
      <c r="M290">
        <v>12602.25</v>
      </c>
      <c r="N290">
        <v>71412.75</v>
      </c>
    </row>
    <row r="291" spans="1:14" x14ac:dyDescent="0.25">
      <c r="A291">
        <v>10290</v>
      </c>
      <c r="B291" s="4">
        <v>45216</v>
      </c>
      <c r="C291" t="s">
        <v>17</v>
      </c>
      <c r="D291" t="s">
        <v>18</v>
      </c>
      <c r="E291" t="s">
        <v>25</v>
      </c>
      <c r="F291" t="s">
        <v>24</v>
      </c>
      <c r="G291">
        <v>61</v>
      </c>
      <c r="H291" t="str">
        <f t="shared" si="4"/>
        <v>55+</v>
      </c>
      <c r="I291">
        <v>8</v>
      </c>
      <c r="J291">
        <v>6179</v>
      </c>
      <c r="K291">
        <v>20</v>
      </c>
      <c r="L291">
        <v>49432</v>
      </c>
      <c r="M291">
        <v>9886.4</v>
      </c>
      <c r="N291">
        <v>39545.599999999999</v>
      </c>
    </row>
    <row r="292" spans="1:14" x14ac:dyDescent="0.25">
      <c r="A292">
        <v>10291</v>
      </c>
      <c r="B292" s="4">
        <v>45217</v>
      </c>
      <c r="C292" t="s">
        <v>21</v>
      </c>
      <c r="D292" t="s">
        <v>18</v>
      </c>
      <c r="E292" t="s">
        <v>19</v>
      </c>
      <c r="F292" t="s">
        <v>16</v>
      </c>
      <c r="G292">
        <v>38</v>
      </c>
      <c r="H292" t="str">
        <f t="shared" si="4"/>
        <v>35-44</v>
      </c>
      <c r="I292">
        <v>8</v>
      </c>
      <c r="J292">
        <v>46703</v>
      </c>
      <c r="K292">
        <v>20</v>
      </c>
      <c r="L292">
        <v>373624</v>
      </c>
      <c r="M292">
        <v>74724.800000000003</v>
      </c>
      <c r="N292">
        <v>298899.20000000001</v>
      </c>
    </row>
    <row r="293" spans="1:14" x14ac:dyDescent="0.25">
      <c r="A293">
        <v>10292</v>
      </c>
      <c r="B293" s="4">
        <v>45218</v>
      </c>
      <c r="C293" t="s">
        <v>21</v>
      </c>
      <c r="D293" t="s">
        <v>22</v>
      </c>
      <c r="E293" t="s">
        <v>25</v>
      </c>
      <c r="F293" t="s">
        <v>20</v>
      </c>
      <c r="G293">
        <v>29</v>
      </c>
      <c r="H293" t="str">
        <f t="shared" si="4"/>
        <v>25-34</v>
      </c>
      <c r="I293">
        <v>3</v>
      </c>
      <c r="J293">
        <v>46303</v>
      </c>
      <c r="K293">
        <v>0</v>
      </c>
      <c r="L293">
        <v>138909</v>
      </c>
      <c r="M293">
        <v>0</v>
      </c>
      <c r="N293">
        <v>138909</v>
      </c>
    </row>
    <row r="294" spans="1:14" x14ac:dyDescent="0.25">
      <c r="A294">
        <v>10293</v>
      </c>
      <c r="B294" s="4">
        <v>45219</v>
      </c>
      <c r="C294" t="s">
        <v>21</v>
      </c>
      <c r="D294" t="s">
        <v>14</v>
      </c>
      <c r="E294" t="s">
        <v>15</v>
      </c>
      <c r="F294" t="s">
        <v>28</v>
      </c>
      <c r="G294">
        <v>52</v>
      </c>
      <c r="H294" t="str">
        <f t="shared" si="4"/>
        <v>45-54</v>
      </c>
      <c r="I294">
        <v>7</v>
      </c>
      <c r="J294">
        <v>30055</v>
      </c>
      <c r="K294">
        <v>20</v>
      </c>
      <c r="L294">
        <v>210385</v>
      </c>
      <c r="M294">
        <v>42077</v>
      </c>
      <c r="N294">
        <v>168308</v>
      </c>
    </row>
    <row r="295" spans="1:14" x14ac:dyDescent="0.25">
      <c r="A295">
        <v>10294</v>
      </c>
      <c r="B295" s="4">
        <v>45220</v>
      </c>
      <c r="C295" t="s">
        <v>13</v>
      </c>
      <c r="D295" t="s">
        <v>29</v>
      </c>
      <c r="E295" t="s">
        <v>32</v>
      </c>
      <c r="F295" t="s">
        <v>16</v>
      </c>
      <c r="G295">
        <v>44</v>
      </c>
      <c r="H295" t="str">
        <f t="shared" si="4"/>
        <v>35-44</v>
      </c>
      <c r="I295">
        <v>6</v>
      </c>
      <c r="J295">
        <v>21259</v>
      </c>
      <c r="K295">
        <v>20</v>
      </c>
      <c r="L295">
        <v>127554</v>
      </c>
      <c r="M295">
        <v>25510.799999999999</v>
      </c>
      <c r="N295">
        <v>102043.2</v>
      </c>
    </row>
    <row r="296" spans="1:14" x14ac:dyDescent="0.25">
      <c r="A296">
        <v>10295</v>
      </c>
      <c r="B296" s="4">
        <v>45221</v>
      </c>
      <c r="C296" t="s">
        <v>33</v>
      </c>
      <c r="D296" t="s">
        <v>29</v>
      </c>
      <c r="E296" t="s">
        <v>15</v>
      </c>
      <c r="F296" t="s">
        <v>28</v>
      </c>
      <c r="G296">
        <v>54</v>
      </c>
      <c r="H296" t="str">
        <f t="shared" si="4"/>
        <v>45-54</v>
      </c>
      <c r="I296">
        <v>6</v>
      </c>
      <c r="J296">
        <v>40578</v>
      </c>
      <c r="K296">
        <v>0</v>
      </c>
      <c r="L296">
        <v>243468</v>
      </c>
      <c r="M296">
        <v>0</v>
      </c>
      <c r="N296">
        <v>243468</v>
      </c>
    </row>
    <row r="297" spans="1:14" x14ac:dyDescent="0.25">
      <c r="A297">
        <v>10296</v>
      </c>
      <c r="B297" s="4">
        <v>45222</v>
      </c>
      <c r="C297" t="s">
        <v>17</v>
      </c>
      <c r="D297" t="s">
        <v>27</v>
      </c>
      <c r="E297" t="s">
        <v>15</v>
      </c>
      <c r="F297" t="s">
        <v>20</v>
      </c>
      <c r="G297">
        <v>64</v>
      </c>
      <c r="H297" t="str">
        <f t="shared" si="4"/>
        <v>55+</v>
      </c>
      <c r="I297">
        <v>7</v>
      </c>
      <c r="J297">
        <v>1658</v>
      </c>
      <c r="K297">
        <v>10</v>
      </c>
      <c r="L297">
        <v>11606</v>
      </c>
      <c r="M297">
        <v>1160.5999999999999</v>
      </c>
      <c r="N297">
        <v>10445.4</v>
      </c>
    </row>
    <row r="298" spans="1:14" x14ac:dyDescent="0.25">
      <c r="A298">
        <v>10297</v>
      </c>
      <c r="B298" s="4">
        <v>45223</v>
      </c>
      <c r="C298" t="s">
        <v>13</v>
      </c>
      <c r="D298" t="s">
        <v>29</v>
      </c>
      <c r="E298" t="s">
        <v>25</v>
      </c>
      <c r="F298" t="s">
        <v>28</v>
      </c>
      <c r="G298">
        <v>55</v>
      </c>
      <c r="H298" t="str">
        <f t="shared" si="4"/>
        <v>55+</v>
      </c>
      <c r="I298">
        <v>1</v>
      </c>
      <c r="J298">
        <v>14550</v>
      </c>
      <c r="K298">
        <v>15</v>
      </c>
      <c r="L298">
        <v>14550</v>
      </c>
      <c r="M298">
        <v>2182.5</v>
      </c>
      <c r="N298">
        <v>12367.5</v>
      </c>
    </row>
    <row r="299" spans="1:14" x14ac:dyDescent="0.25">
      <c r="A299">
        <v>10298</v>
      </c>
      <c r="B299" s="4">
        <v>45224</v>
      </c>
      <c r="C299" t="s">
        <v>21</v>
      </c>
      <c r="D299" t="s">
        <v>14</v>
      </c>
      <c r="E299" t="s">
        <v>19</v>
      </c>
      <c r="F299" t="s">
        <v>16</v>
      </c>
      <c r="G299">
        <v>42</v>
      </c>
      <c r="H299" t="str">
        <f t="shared" si="4"/>
        <v>35-44</v>
      </c>
      <c r="I299">
        <v>6</v>
      </c>
      <c r="J299">
        <v>34659</v>
      </c>
      <c r="K299">
        <v>20</v>
      </c>
      <c r="L299">
        <v>207954</v>
      </c>
      <c r="M299">
        <v>41590.800000000003</v>
      </c>
      <c r="N299">
        <v>166363.20000000001</v>
      </c>
    </row>
    <row r="300" spans="1:14" x14ac:dyDescent="0.25">
      <c r="A300">
        <v>10299</v>
      </c>
      <c r="B300" s="4">
        <v>45225</v>
      </c>
      <c r="C300" t="s">
        <v>21</v>
      </c>
      <c r="D300" t="s">
        <v>22</v>
      </c>
      <c r="E300" t="s">
        <v>19</v>
      </c>
      <c r="F300" t="s">
        <v>20</v>
      </c>
      <c r="G300">
        <v>58</v>
      </c>
      <c r="H300" t="str">
        <f t="shared" si="4"/>
        <v>55+</v>
      </c>
      <c r="I300">
        <v>8</v>
      </c>
      <c r="J300">
        <v>33868</v>
      </c>
      <c r="K300">
        <v>15</v>
      </c>
      <c r="L300">
        <v>270944</v>
      </c>
      <c r="M300">
        <v>40641.599999999999</v>
      </c>
      <c r="N300">
        <v>230302.4</v>
      </c>
    </row>
    <row r="301" spans="1:14" x14ac:dyDescent="0.25">
      <c r="A301">
        <v>10300</v>
      </c>
      <c r="B301" s="4">
        <v>45226</v>
      </c>
      <c r="C301" t="s">
        <v>17</v>
      </c>
      <c r="D301" t="s">
        <v>18</v>
      </c>
      <c r="E301" t="s">
        <v>32</v>
      </c>
      <c r="F301" t="s">
        <v>28</v>
      </c>
      <c r="G301">
        <v>24</v>
      </c>
      <c r="H301" t="str">
        <f t="shared" si="4"/>
        <v>18-24</v>
      </c>
      <c r="I301">
        <v>2</v>
      </c>
      <c r="J301">
        <v>49746</v>
      </c>
      <c r="K301">
        <v>5</v>
      </c>
      <c r="L301">
        <v>99492</v>
      </c>
      <c r="M301">
        <v>4974.6000000000004</v>
      </c>
      <c r="N301">
        <v>94517.4</v>
      </c>
    </row>
    <row r="302" spans="1:14" x14ac:dyDescent="0.25">
      <c r="A302">
        <v>10301</v>
      </c>
      <c r="B302" s="4">
        <v>45227</v>
      </c>
      <c r="C302" t="s">
        <v>21</v>
      </c>
      <c r="D302" t="s">
        <v>18</v>
      </c>
      <c r="E302" t="s">
        <v>25</v>
      </c>
      <c r="F302" t="s">
        <v>31</v>
      </c>
      <c r="G302">
        <v>62</v>
      </c>
      <c r="H302" t="str">
        <f t="shared" si="4"/>
        <v>55+</v>
      </c>
      <c r="I302">
        <v>8</v>
      </c>
      <c r="J302">
        <v>40868</v>
      </c>
      <c r="K302">
        <v>0</v>
      </c>
      <c r="L302">
        <v>326944</v>
      </c>
      <c r="M302">
        <v>0</v>
      </c>
      <c r="N302">
        <v>326944</v>
      </c>
    </row>
    <row r="303" spans="1:14" x14ac:dyDescent="0.25">
      <c r="A303">
        <v>10302</v>
      </c>
      <c r="B303" s="4">
        <v>45228</v>
      </c>
      <c r="C303" t="s">
        <v>13</v>
      </c>
      <c r="D303" t="s">
        <v>14</v>
      </c>
      <c r="E303" t="s">
        <v>25</v>
      </c>
      <c r="F303" t="s">
        <v>24</v>
      </c>
      <c r="G303">
        <v>48</v>
      </c>
      <c r="H303" t="str">
        <f t="shared" si="4"/>
        <v>45-54</v>
      </c>
      <c r="I303">
        <v>8</v>
      </c>
      <c r="J303">
        <v>5148</v>
      </c>
      <c r="K303">
        <v>20</v>
      </c>
      <c r="L303">
        <v>41184</v>
      </c>
      <c r="M303">
        <v>8236.7999999999993</v>
      </c>
      <c r="N303">
        <v>32947.199999999997</v>
      </c>
    </row>
    <row r="304" spans="1:14" x14ac:dyDescent="0.25">
      <c r="A304">
        <v>10303</v>
      </c>
      <c r="B304" s="4">
        <v>45229</v>
      </c>
      <c r="C304" t="s">
        <v>33</v>
      </c>
      <c r="D304" t="s">
        <v>29</v>
      </c>
      <c r="E304" t="s">
        <v>32</v>
      </c>
      <c r="F304" t="s">
        <v>31</v>
      </c>
      <c r="G304">
        <v>51</v>
      </c>
      <c r="H304" t="str">
        <f t="shared" si="4"/>
        <v>45-54</v>
      </c>
      <c r="I304">
        <v>5</v>
      </c>
      <c r="J304">
        <v>35243</v>
      </c>
      <c r="K304">
        <v>0</v>
      </c>
      <c r="L304">
        <v>176215</v>
      </c>
      <c r="M304">
        <v>0</v>
      </c>
      <c r="N304">
        <v>176215</v>
      </c>
    </row>
    <row r="305" spans="1:14" x14ac:dyDescent="0.25">
      <c r="A305">
        <v>10304</v>
      </c>
      <c r="B305" s="4">
        <v>45230</v>
      </c>
      <c r="C305" t="s">
        <v>21</v>
      </c>
      <c r="D305" t="s">
        <v>22</v>
      </c>
      <c r="E305" t="s">
        <v>15</v>
      </c>
      <c r="F305" t="s">
        <v>16</v>
      </c>
      <c r="G305">
        <v>19</v>
      </c>
      <c r="H305" t="str">
        <f t="shared" si="4"/>
        <v>18-24</v>
      </c>
      <c r="I305">
        <v>7</v>
      </c>
      <c r="J305">
        <v>17543</v>
      </c>
      <c r="K305">
        <v>0</v>
      </c>
      <c r="L305">
        <v>122801</v>
      </c>
      <c r="M305">
        <v>0</v>
      </c>
      <c r="N305">
        <v>122801</v>
      </c>
    </row>
    <row r="306" spans="1:14" x14ac:dyDescent="0.25">
      <c r="A306">
        <v>10305</v>
      </c>
      <c r="B306" s="4">
        <v>45231</v>
      </c>
      <c r="C306" t="s">
        <v>21</v>
      </c>
      <c r="D306" t="s">
        <v>18</v>
      </c>
      <c r="E306" t="s">
        <v>15</v>
      </c>
      <c r="F306" t="s">
        <v>23</v>
      </c>
      <c r="G306">
        <v>39</v>
      </c>
      <c r="H306" t="str">
        <f t="shared" si="4"/>
        <v>35-44</v>
      </c>
      <c r="I306">
        <v>8</v>
      </c>
      <c r="J306">
        <v>30232</v>
      </c>
      <c r="K306">
        <v>10</v>
      </c>
      <c r="L306">
        <v>241856</v>
      </c>
      <c r="M306">
        <v>24185.599999999999</v>
      </c>
      <c r="N306">
        <v>217670.39999999999</v>
      </c>
    </row>
    <row r="307" spans="1:14" x14ac:dyDescent="0.25">
      <c r="A307">
        <v>10306</v>
      </c>
      <c r="B307" s="4">
        <v>45232</v>
      </c>
      <c r="C307" t="s">
        <v>17</v>
      </c>
      <c r="D307" t="s">
        <v>18</v>
      </c>
      <c r="E307" t="s">
        <v>25</v>
      </c>
      <c r="F307" t="s">
        <v>20</v>
      </c>
      <c r="G307">
        <v>43</v>
      </c>
      <c r="H307" t="str">
        <f t="shared" si="4"/>
        <v>35-44</v>
      </c>
      <c r="I307">
        <v>7</v>
      </c>
      <c r="J307">
        <v>46945</v>
      </c>
      <c r="K307">
        <v>20</v>
      </c>
      <c r="L307">
        <v>328615</v>
      </c>
      <c r="M307">
        <v>65723</v>
      </c>
      <c r="N307">
        <v>262892</v>
      </c>
    </row>
    <row r="308" spans="1:14" x14ac:dyDescent="0.25">
      <c r="A308">
        <v>10307</v>
      </c>
      <c r="B308" s="4">
        <v>45233</v>
      </c>
      <c r="C308" t="s">
        <v>33</v>
      </c>
      <c r="D308" t="s">
        <v>22</v>
      </c>
      <c r="E308" t="s">
        <v>19</v>
      </c>
      <c r="F308" t="s">
        <v>24</v>
      </c>
      <c r="G308">
        <v>64</v>
      </c>
      <c r="H308" t="str">
        <f t="shared" si="4"/>
        <v>55+</v>
      </c>
      <c r="I308">
        <v>2</v>
      </c>
      <c r="J308">
        <v>29458</v>
      </c>
      <c r="K308">
        <v>15</v>
      </c>
      <c r="L308">
        <v>58916</v>
      </c>
      <c r="M308">
        <v>8837.4</v>
      </c>
      <c r="N308">
        <v>50078.6</v>
      </c>
    </row>
    <row r="309" spans="1:14" x14ac:dyDescent="0.25">
      <c r="A309">
        <v>10308</v>
      </c>
      <c r="B309" s="4">
        <v>45234</v>
      </c>
      <c r="C309" t="s">
        <v>17</v>
      </c>
      <c r="D309" t="s">
        <v>22</v>
      </c>
      <c r="E309" t="s">
        <v>25</v>
      </c>
      <c r="F309" t="s">
        <v>16</v>
      </c>
      <c r="G309">
        <v>18</v>
      </c>
      <c r="H309" t="str">
        <f t="shared" si="4"/>
        <v>18-24</v>
      </c>
      <c r="I309">
        <v>8</v>
      </c>
      <c r="J309">
        <v>36691</v>
      </c>
      <c r="K309">
        <v>10</v>
      </c>
      <c r="L309">
        <v>293528</v>
      </c>
      <c r="M309">
        <v>29352.799999999999</v>
      </c>
      <c r="N309">
        <v>264175.2</v>
      </c>
    </row>
    <row r="310" spans="1:14" x14ac:dyDescent="0.25">
      <c r="A310">
        <v>10309</v>
      </c>
      <c r="B310" s="4">
        <v>45235</v>
      </c>
      <c r="C310" t="s">
        <v>33</v>
      </c>
      <c r="D310" t="s">
        <v>29</v>
      </c>
      <c r="E310" t="s">
        <v>25</v>
      </c>
      <c r="F310" t="s">
        <v>28</v>
      </c>
      <c r="G310">
        <v>64</v>
      </c>
      <c r="H310" t="str">
        <f t="shared" si="4"/>
        <v>55+</v>
      </c>
      <c r="I310">
        <v>9</v>
      </c>
      <c r="J310">
        <v>6480</v>
      </c>
      <c r="K310">
        <v>20</v>
      </c>
      <c r="L310">
        <v>58320</v>
      </c>
      <c r="M310">
        <v>11664</v>
      </c>
      <c r="N310">
        <v>46656</v>
      </c>
    </row>
    <row r="311" spans="1:14" x14ac:dyDescent="0.25">
      <c r="A311">
        <v>10310</v>
      </c>
      <c r="B311" s="4">
        <v>45236</v>
      </c>
      <c r="C311" t="s">
        <v>17</v>
      </c>
      <c r="D311" t="s">
        <v>18</v>
      </c>
      <c r="E311" t="s">
        <v>15</v>
      </c>
      <c r="F311" t="s">
        <v>16</v>
      </c>
      <c r="G311">
        <v>31</v>
      </c>
      <c r="H311" t="str">
        <f t="shared" si="4"/>
        <v>25-34</v>
      </c>
      <c r="I311">
        <v>4</v>
      </c>
      <c r="J311">
        <v>42988</v>
      </c>
      <c r="K311">
        <v>20</v>
      </c>
      <c r="L311">
        <v>171952</v>
      </c>
      <c r="M311">
        <v>34390.400000000001</v>
      </c>
      <c r="N311">
        <v>137561.60000000001</v>
      </c>
    </row>
    <row r="312" spans="1:14" x14ac:dyDescent="0.25">
      <c r="A312">
        <v>10311</v>
      </c>
      <c r="B312" s="4">
        <v>45237</v>
      </c>
      <c r="C312" t="s">
        <v>17</v>
      </c>
      <c r="D312" t="s">
        <v>29</v>
      </c>
      <c r="E312" t="s">
        <v>25</v>
      </c>
      <c r="F312" t="s">
        <v>20</v>
      </c>
      <c r="G312">
        <v>58</v>
      </c>
      <c r="H312" t="str">
        <f t="shared" si="4"/>
        <v>55+</v>
      </c>
      <c r="I312">
        <v>3</v>
      </c>
      <c r="J312">
        <v>4148</v>
      </c>
      <c r="K312">
        <v>0</v>
      </c>
      <c r="L312">
        <v>12444</v>
      </c>
      <c r="M312">
        <v>0</v>
      </c>
      <c r="N312">
        <v>12444</v>
      </c>
    </row>
    <row r="313" spans="1:14" x14ac:dyDescent="0.25">
      <c r="A313">
        <v>10312</v>
      </c>
      <c r="B313" s="4">
        <v>45238</v>
      </c>
      <c r="C313" t="s">
        <v>17</v>
      </c>
      <c r="D313" t="s">
        <v>29</v>
      </c>
      <c r="E313" t="s">
        <v>32</v>
      </c>
      <c r="F313" t="s">
        <v>24</v>
      </c>
      <c r="G313">
        <v>21</v>
      </c>
      <c r="H313" t="str">
        <f t="shared" si="4"/>
        <v>18-24</v>
      </c>
      <c r="I313">
        <v>2</v>
      </c>
      <c r="J313">
        <v>42144</v>
      </c>
      <c r="K313">
        <v>0</v>
      </c>
      <c r="L313">
        <v>84288</v>
      </c>
      <c r="M313">
        <v>0</v>
      </c>
      <c r="N313">
        <v>84288</v>
      </c>
    </row>
    <row r="314" spans="1:14" x14ac:dyDescent="0.25">
      <c r="A314">
        <v>10313</v>
      </c>
      <c r="B314" s="4">
        <v>45239</v>
      </c>
      <c r="C314" t="s">
        <v>33</v>
      </c>
      <c r="D314" t="s">
        <v>18</v>
      </c>
      <c r="E314" t="s">
        <v>19</v>
      </c>
      <c r="F314" t="s">
        <v>16</v>
      </c>
      <c r="G314">
        <v>33</v>
      </c>
      <c r="H314" t="str">
        <f t="shared" si="4"/>
        <v>25-34</v>
      </c>
      <c r="I314">
        <v>1</v>
      </c>
      <c r="J314">
        <v>2791</v>
      </c>
      <c r="K314">
        <v>15</v>
      </c>
      <c r="L314">
        <v>2791</v>
      </c>
      <c r="M314">
        <v>418.65</v>
      </c>
      <c r="N314">
        <v>2372.35</v>
      </c>
    </row>
    <row r="315" spans="1:14" x14ac:dyDescent="0.25">
      <c r="A315">
        <v>10314</v>
      </c>
      <c r="B315" s="4">
        <v>45240</v>
      </c>
      <c r="C315" t="s">
        <v>17</v>
      </c>
      <c r="D315" t="s">
        <v>18</v>
      </c>
      <c r="E315" t="s">
        <v>15</v>
      </c>
      <c r="F315" t="s">
        <v>16</v>
      </c>
      <c r="G315">
        <v>24</v>
      </c>
      <c r="H315" t="str">
        <f t="shared" si="4"/>
        <v>18-24</v>
      </c>
      <c r="I315">
        <v>3</v>
      </c>
      <c r="J315">
        <v>20218</v>
      </c>
      <c r="K315">
        <v>15</v>
      </c>
      <c r="L315">
        <v>60654</v>
      </c>
      <c r="M315">
        <v>9098.1</v>
      </c>
      <c r="N315">
        <v>51555.9</v>
      </c>
    </row>
    <row r="316" spans="1:14" x14ac:dyDescent="0.25">
      <c r="A316">
        <v>10315</v>
      </c>
      <c r="B316" s="4">
        <v>45241</v>
      </c>
      <c r="C316" t="s">
        <v>33</v>
      </c>
      <c r="D316" t="s">
        <v>14</v>
      </c>
      <c r="E316" t="s">
        <v>15</v>
      </c>
      <c r="F316" t="s">
        <v>26</v>
      </c>
      <c r="G316">
        <v>21</v>
      </c>
      <c r="H316" t="str">
        <f t="shared" si="4"/>
        <v>18-24</v>
      </c>
      <c r="I316">
        <v>4</v>
      </c>
      <c r="J316">
        <v>8131</v>
      </c>
      <c r="K316">
        <v>15</v>
      </c>
      <c r="L316">
        <v>32524</v>
      </c>
      <c r="M316">
        <v>4878.6000000000004</v>
      </c>
      <c r="N316">
        <v>27645.4</v>
      </c>
    </row>
    <row r="317" spans="1:14" x14ac:dyDescent="0.25">
      <c r="A317">
        <v>10316</v>
      </c>
      <c r="B317" s="4">
        <v>45242</v>
      </c>
      <c r="C317" t="s">
        <v>17</v>
      </c>
      <c r="D317" t="s">
        <v>27</v>
      </c>
      <c r="E317" t="s">
        <v>15</v>
      </c>
      <c r="F317" t="s">
        <v>16</v>
      </c>
      <c r="G317">
        <v>60</v>
      </c>
      <c r="H317" t="str">
        <f t="shared" si="4"/>
        <v>55+</v>
      </c>
      <c r="I317">
        <v>8</v>
      </c>
      <c r="J317">
        <v>47003</v>
      </c>
      <c r="K317">
        <v>15</v>
      </c>
      <c r="L317">
        <v>376024</v>
      </c>
      <c r="M317">
        <v>56403.6</v>
      </c>
      <c r="N317">
        <v>319620.40000000002</v>
      </c>
    </row>
    <row r="318" spans="1:14" x14ac:dyDescent="0.25">
      <c r="A318">
        <v>10317</v>
      </c>
      <c r="B318" s="4">
        <v>45243</v>
      </c>
      <c r="C318" t="s">
        <v>17</v>
      </c>
      <c r="D318" t="s">
        <v>29</v>
      </c>
      <c r="E318" t="s">
        <v>15</v>
      </c>
      <c r="F318" t="s">
        <v>24</v>
      </c>
      <c r="G318">
        <v>19</v>
      </c>
      <c r="H318" t="str">
        <f t="shared" si="4"/>
        <v>18-24</v>
      </c>
      <c r="I318">
        <v>1</v>
      </c>
      <c r="J318">
        <v>48750</v>
      </c>
      <c r="K318">
        <v>10</v>
      </c>
      <c r="L318">
        <v>48750</v>
      </c>
      <c r="M318">
        <v>4875</v>
      </c>
      <c r="N318">
        <v>43875</v>
      </c>
    </row>
    <row r="319" spans="1:14" x14ac:dyDescent="0.25">
      <c r="A319">
        <v>10318</v>
      </c>
      <c r="B319" s="4">
        <v>45244</v>
      </c>
      <c r="C319" t="s">
        <v>13</v>
      </c>
      <c r="D319" t="s">
        <v>18</v>
      </c>
      <c r="E319" t="s">
        <v>19</v>
      </c>
      <c r="F319" t="s">
        <v>26</v>
      </c>
      <c r="G319">
        <v>35</v>
      </c>
      <c r="H319" t="str">
        <f t="shared" si="4"/>
        <v>35-44</v>
      </c>
      <c r="I319">
        <v>5</v>
      </c>
      <c r="J319">
        <v>434</v>
      </c>
      <c r="K319">
        <v>20</v>
      </c>
      <c r="L319">
        <v>2170</v>
      </c>
      <c r="M319">
        <v>434</v>
      </c>
      <c r="N319">
        <v>1736</v>
      </c>
    </row>
    <row r="320" spans="1:14" x14ac:dyDescent="0.25">
      <c r="A320">
        <v>10319</v>
      </c>
      <c r="B320" s="4">
        <v>45245</v>
      </c>
      <c r="C320" t="s">
        <v>17</v>
      </c>
      <c r="D320" t="s">
        <v>29</v>
      </c>
      <c r="E320" t="s">
        <v>19</v>
      </c>
      <c r="F320" t="s">
        <v>20</v>
      </c>
      <c r="G320">
        <v>34</v>
      </c>
      <c r="H320" t="str">
        <f t="shared" si="4"/>
        <v>25-34</v>
      </c>
      <c r="I320">
        <v>5</v>
      </c>
      <c r="J320">
        <v>16539</v>
      </c>
      <c r="K320">
        <v>5</v>
      </c>
      <c r="L320">
        <v>82695</v>
      </c>
      <c r="M320">
        <v>4134.75</v>
      </c>
      <c r="N320">
        <v>78560.25</v>
      </c>
    </row>
    <row r="321" spans="1:14" x14ac:dyDescent="0.25">
      <c r="A321">
        <v>10320</v>
      </c>
      <c r="B321" s="4">
        <v>45246</v>
      </c>
      <c r="C321" t="s">
        <v>33</v>
      </c>
      <c r="D321" t="s">
        <v>18</v>
      </c>
      <c r="E321" t="s">
        <v>15</v>
      </c>
      <c r="F321" t="s">
        <v>30</v>
      </c>
      <c r="G321">
        <v>22</v>
      </c>
      <c r="H321" t="str">
        <f t="shared" si="4"/>
        <v>18-24</v>
      </c>
      <c r="I321">
        <v>6</v>
      </c>
      <c r="J321">
        <v>9666</v>
      </c>
      <c r="K321">
        <v>20</v>
      </c>
      <c r="L321">
        <v>57996</v>
      </c>
      <c r="M321">
        <v>11599.2</v>
      </c>
      <c r="N321">
        <v>46396.800000000003</v>
      </c>
    </row>
    <row r="322" spans="1:14" x14ac:dyDescent="0.25">
      <c r="A322">
        <v>10321</v>
      </c>
      <c r="B322" s="4">
        <v>45247</v>
      </c>
      <c r="C322" t="s">
        <v>21</v>
      </c>
      <c r="D322" t="s">
        <v>18</v>
      </c>
      <c r="E322" t="s">
        <v>25</v>
      </c>
      <c r="F322" t="s">
        <v>30</v>
      </c>
      <c r="G322">
        <v>39</v>
      </c>
      <c r="H322" t="str">
        <f t="shared" si="4"/>
        <v>35-44</v>
      </c>
      <c r="I322">
        <v>1</v>
      </c>
      <c r="J322">
        <v>45883</v>
      </c>
      <c r="K322">
        <v>20</v>
      </c>
      <c r="L322">
        <v>45883</v>
      </c>
      <c r="M322">
        <v>9176.6</v>
      </c>
      <c r="N322">
        <v>36706.400000000001</v>
      </c>
    </row>
    <row r="323" spans="1:14" x14ac:dyDescent="0.25">
      <c r="A323">
        <v>10322</v>
      </c>
      <c r="B323" s="4">
        <v>45248</v>
      </c>
      <c r="C323" t="s">
        <v>17</v>
      </c>
      <c r="D323" t="s">
        <v>18</v>
      </c>
      <c r="E323" t="s">
        <v>32</v>
      </c>
      <c r="F323" t="s">
        <v>16</v>
      </c>
      <c r="G323">
        <v>47</v>
      </c>
      <c r="H323" t="str">
        <f t="shared" ref="H323:H386" si="5">IF(G323&lt;25,"18-24",IF(G323&lt;35,"25-34",IF(G323&lt;45,"35-44",IF(G323&lt;55,"45-54","55+"))))</f>
        <v>45-54</v>
      </c>
      <c r="I323">
        <v>8</v>
      </c>
      <c r="J323">
        <v>25649</v>
      </c>
      <c r="K323">
        <v>10</v>
      </c>
      <c r="L323">
        <v>205192</v>
      </c>
      <c r="M323">
        <v>20519.2</v>
      </c>
      <c r="N323">
        <v>184672.8</v>
      </c>
    </row>
    <row r="324" spans="1:14" x14ac:dyDescent="0.25">
      <c r="A324">
        <v>10323</v>
      </c>
      <c r="B324" s="4">
        <v>45249</v>
      </c>
      <c r="C324" t="s">
        <v>33</v>
      </c>
      <c r="D324" t="s">
        <v>27</v>
      </c>
      <c r="E324" t="s">
        <v>15</v>
      </c>
      <c r="F324" t="s">
        <v>31</v>
      </c>
      <c r="G324">
        <v>62</v>
      </c>
      <c r="H324" t="str">
        <f t="shared" si="5"/>
        <v>55+</v>
      </c>
      <c r="I324">
        <v>9</v>
      </c>
      <c r="J324">
        <v>18291</v>
      </c>
      <c r="K324">
        <v>15</v>
      </c>
      <c r="L324">
        <v>164619</v>
      </c>
      <c r="M324">
        <v>24692.85</v>
      </c>
      <c r="N324">
        <v>139926.15</v>
      </c>
    </row>
    <row r="325" spans="1:14" x14ac:dyDescent="0.25">
      <c r="A325">
        <v>10324</v>
      </c>
      <c r="B325" s="4">
        <v>45250</v>
      </c>
      <c r="C325" t="s">
        <v>21</v>
      </c>
      <c r="D325" t="s">
        <v>29</v>
      </c>
      <c r="E325" t="s">
        <v>32</v>
      </c>
      <c r="F325" t="s">
        <v>24</v>
      </c>
      <c r="G325">
        <v>50</v>
      </c>
      <c r="H325" t="str">
        <f t="shared" si="5"/>
        <v>45-54</v>
      </c>
      <c r="I325">
        <v>5</v>
      </c>
      <c r="J325">
        <v>39229</v>
      </c>
      <c r="K325">
        <v>20</v>
      </c>
      <c r="L325">
        <v>196145</v>
      </c>
      <c r="M325">
        <v>39229</v>
      </c>
      <c r="N325">
        <v>156916</v>
      </c>
    </row>
    <row r="326" spans="1:14" x14ac:dyDescent="0.25">
      <c r="A326">
        <v>10325</v>
      </c>
      <c r="B326" s="4">
        <v>45251</v>
      </c>
      <c r="C326" t="s">
        <v>21</v>
      </c>
      <c r="D326" t="s">
        <v>14</v>
      </c>
      <c r="E326" t="s">
        <v>32</v>
      </c>
      <c r="F326" t="s">
        <v>16</v>
      </c>
      <c r="G326">
        <v>20</v>
      </c>
      <c r="H326" t="str">
        <f t="shared" si="5"/>
        <v>18-24</v>
      </c>
      <c r="I326">
        <v>5</v>
      </c>
      <c r="J326">
        <v>16026</v>
      </c>
      <c r="K326">
        <v>15</v>
      </c>
      <c r="L326">
        <v>80130</v>
      </c>
      <c r="M326">
        <v>12019.5</v>
      </c>
      <c r="N326">
        <v>68110.5</v>
      </c>
    </row>
    <row r="327" spans="1:14" x14ac:dyDescent="0.25">
      <c r="A327">
        <v>10326</v>
      </c>
      <c r="B327" s="4">
        <v>45252</v>
      </c>
      <c r="C327" t="s">
        <v>21</v>
      </c>
      <c r="D327" t="s">
        <v>18</v>
      </c>
      <c r="E327" t="s">
        <v>32</v>
      </c>
      <c r="F327" t="s">
        <v>30</v>
      </c>
      <c r="G327">
        <v>52</v>
      </c>
      <c r="H327" t="str">
        <f t="shared" si="5"/>
        <v>45-54</v>
      </c>
      <c r="I327">
        <v>3</v>
      </c>
      <c r="J327">
        <v>48034</v>
      </c>
      <c r="K327">
        <v>10</v>
      </c>
      <c r="L327">
        <v>144102</v>
      </c>
      <c r="M327">
        <v>14410.2</v>
      </c>
      <c r="N327">
        <v>129691.8</v>
      </c>
    </row>
    <row r="328" spans="1:14" x14ac:dyDescent="0.25">
      <c r="A328">
        <v>10327</v>
      </c>
      <c r="B328" s="4">
        <v>45253</v>
      </c>
      <c r="C328" t="s">
        <v>17</v>
      </c>
      <c r="D328" t="s">
        <v>27</v>
      </c>
      <c r="E328" t="s">
        <v>15</v>
      </c>
      <c r="F328" t="s">
        <v>24</v>
      </c>
      <c r="G328">
        <v>42</v>
      </c>
      <c r="H328" t="str">
        <f t="shared" si="5"/>
        <v>35-44</v>
      </c>
      <c r="I328">
        <v>1</v>
      </c>
      <c r="J328">
        <v>47894</v>
      </c>
      <c r="K328">
        <v>10</v>
      </c>
      <c r="L328">
        <v>47894</v>
      </c>
      <c r="M328">
        <v>4789.3999999999996</v>
      </c>
      <c r="N328">
        <v>43104.6</v>
      </c>
    </row>
    <row r="329" spans="1:14" x14ac:dyDescent="0.25">
      <c r="A329">
        <v>10328</v>
      </c>
      <c r="B329" s="4">
        <v>45254</v>
      </c>
      <c r="C329" t="s">
        <v>17</v>
      </c>
      <c r="D329" t="s">
        <v>27</v>
      </c>
      <c r="E329" t="s">
        <v>25</v>
      </c>
      <c r="F329" t="s">
        <v>24</v>
      </c>
      <c r="G329">
        <v>40</v>
      </c>
      <c r="H329" t="str">
        <f t="shared" si="5"/>
        <v>35-44</v>
      </c>
      <c r="I329">
        <v>5</v>
      </c>
      <c r="J329">
        <v>19121</v>
      </c>
      <c r="K329">
        <v>20</v>
      </c>
      <c r="L329">
        <v>95605</v>
      </c>
      <c r="M329">
        <v>19121</v>
      </c>
      <c r="N329">
        <v>76484</v>
      </c>
    </row>
    <row r="330" spans="1:14" x14ac:dyDescent="0.25">
      <c r="A330">
        <v>10329</v>
      </c>
      <c r="B330" s="4">
        <v>45255</v>
      </c>
      <c r="C330" t="s">
        <v>21</v>
      </c>
      <c r="D330" t="s">
        <v>18</v>
      </c>
      <c r="E330" t="s">
        <v>19</v>
      </c>
      <c r="F330" t="s">
        <v>26</v>
      </c>
      <c r="G330">
        <v>31</v>
      </c>
      <c r="H330" t="str">
        <f t="shared" si="5"/>
        <v>25-34</v>
      </c>
      <c r="I330">
        <v>6</v>
      </c>
      <c r="J330">
        <v>30363</v>
      </c>
      <c r="K330">
        <v>5</v>
      </c>
      <c r="L330">
        <v>182178</v>
      </c>
      <c r="M330">
        <v>9108.9</v>
      </c>
      <c r="N330">
        <v>173069.1</v>
      </c>
    </row>
    <row r="331" spans="1:14" x14ac:dyDescent="0.25">
      <c r="A331">
        <v>10330</v>
      </c>
      <c r="B331" s="4">
        <v>45256</v>
      </c>
      <c r="C331" t="s">
        <v>17</v>
      </c>
      <c r="D331" t="s">
        <v>22</v>
      </c>
      <c r="E331" t="s">
        <v>25</v>
      </c>
      <c r="F331" t="s">
        <v>23</v>
      </c>
      <c r="G331">
        <v>51</v>
      </c>
      <c r="H331" t="str">
        <f t="shared" si="5"/>
        <v>45-54</v>
      </c>
      <c r="I331">
        <v>7</v>
      </c>
      <c r="J331">
        <v>3878</v>
      </c>
      <c r="K331">
        <v>20</v>
      </c>
      <c r="L331">
        <v>27146</v>
      </c>
      <c r="M331">
        <v>5429.2</v>
      </c>
      <c r="N331">
        <v>21716.799999999999</v>
      </c>
    </row>
    <row r="332" spans="1:14" x14ac:dyDescent="0.25">
      <c r="A332">
        <v>10331</v>
      </c>
      <c r="B332" s="4">
        <v>45257</v>
      </c>
      <c r="C332" t="s">
        <v>13</v>
      </c>
      <c r="D332" t="s">
        <v>29</v>
      </c>
      <c r="E332" t="s">
        <v>15</v>
      </c>
      <c r="F332" t="s">
        <v>16</v>
      </c>
      <c r="G332">
        <v>56</v>
      </c>
      <c r="H332" t="str">
        <f t="shared" si="5"/>
        <v>55+</v>
      </c>
      <c r="I332">
        <v>3</v>
      </c>
      <c r="J332">
        <v>29274</v>
      </c>
      <c r="K332">
        <v>0</v>
      </c>
      <c r="L332">
        <v>87822</v>
      </c>
      <c r="M332">
        <v>0</v>
      </c>
      <c r="N332">
        <v>87822</v>
      </c>
    </row>
    <row r="333" spans="1:14" x14ac:dyDescent="0.25">
      <c r="A333">
        <v>10332</v>
      </c>
      <c r="B333" s="4">
        <v>45258</v>
      </c>
      <c r="C333" t="s">
        <v>33</v>
      </c>
      <c r="D333" t="s">
        <v>14</v>
      </c>
      <c r="E333" t="s">
        <v>15</v>
      </c>
      <c r="F333" t="s">
        <v>30</v>
      </c>
      <c r="G333">
        <v>28</v>
      </c>
      <c r="H333" t="str">
        <f t="shared" si="5"/>
        <v>25-34</v>
      </c>
      <c r="I333">
        <v>1</v>
      </c>
      <c r="J333">
        <v>32520</v>
      </c>
      <c r="K333">
        <v>0</v>
      </c>
      <c r="L333">
        <v>32520</v>
      </c>
      <c r="M333">
        <v>0</v>
      </c>
      <c r="N333">
        <v>32520</v>
      </c>
    </row>
    <row r="334" spans="1:14" x14ac:dyDescent="0.25">
      <c r="A334">
        <v>10333</v>
      </c>
      <c r="B334" s="4">
        <v>45259</v>
      </c>
      <c r="C334" t="s">
        <v>33</v>
      </c>
      <c r="D334" t="s">
        <v>27</v>
      </c>
      <c r="E334" t="s">
        <v>25</v>
      </c>
      <c r="F334" t="s">
        <v>20</v>
      </c>
      <c r="G334">
        <v>39</v>
      </c>
      <c r="H334" t="str">
        <f t="shared" si="5"/>
        <v>35-44</v>
      </c>
      <c r="I334">
        <v>7</v>
      </c>
      <c r="J334">
        <v>18210</v>
      </c>
      <c r="K334">
        <v>0</v>
      </c>
      <c r="L334">
        <v>127470</v>
      </c>
      <c r="M334">
        <v>0</v>
      </c>
      <c r="N334">
        <v>127470</v>
      </c>
    </row>
    <row r="335" spans="1:14" x14ac:dyDescent="0.25">
      <c r="A335">
        <v>10334</v>
      </c>
      <c r="B335" s="4">
        <v>45260</v>
      </c>
      <c r="C335" t="s">
        <v>17</v>
      </c>
      <c r="D335" t="s">
        <v>22</v>
      </c>
      <c r="E335" t="s">
        <v>19</v>
      </c>
      <c r="F335" t="s">
        <v>30</v>
      </c>
      <c r="G335">
        <v>34</v>
      </c>
      <c r="H335" t="str">
        <f t="shared" si="5"/>
        <v>25-34</v>
      </c>
      <c r="I335">
        <v>4</v>
      </c>
      <c r="J335">
        <v>38601</v>
      </c>
      <c r="K335">
        <v>0</v>
      </c>
      <c r="L335">
        <v>154404</v>
      </c>
      <c r="M335">
        <v>0</v>
      </c>
      <c r="N335">
        <v>154404</v>
      </c>
    </row>
    <row r="336" spans="1:14" x14ac:dyDescent="0.25">
      <c r="A336">
        <v>10335</v>
      </c>
      <c r="B336" s="4">
        <v>45261</v>
      </c>
      <c r="C336" t="s">
        <v>17</v>
      </c>
      <c r="D336" t="s">
        <v>27</v>
      </c>
      <c r="E336" t="s">
        <v>19</v>
      </c>
      <c r="F336" t="s">
        <v>30</v>
      </c>
      <c r="G336">
        <v>32</v>
      </c>
      <c r="H336" t="str">
        <f t="shared" si="5"/>
        <v>25-34</v>
      </c>
      <c r="I336">
        <v>2</v>
      </c>
      <c r="J336">
        <v>46088</v>
      </c>
      <c r="K336">
        <v>0</v>
      </c>
      <c r="L336">
        <v>92176</v>
      </c>
      <c r="M336">
        <v>0</v>
      </c>
      <c r="N336">
        <v>92176</v>
      </c>
    </row>
    <row r="337" spans="1:14" x14ac:dyDescent="0.25">
      <c r="A337">
        <v>10336</v>
      </c>
      <c r="B337" s="4">
        <v>45262</v>
      </c>
      <c r="C337" t="s">
        <v>13</v>
      </c>
      <c r="D337" t="s">
        <v>22</v>
      </c>
      <c r="E337" t="s">
        <v>15</v>
      </c>
      <c r="F337" t="s">
        <v>30</v>
      </c>
      <c r="G337">
        <v>25</v>
      </c>
      <c r="H337" t="str">
        <f t="shared" si="5"/>
        <v>25-34</v>
      </c>
      <c r="I337">
        <v>2</v>
      </c>
      <c r="J337">
        <v>28017</v>
      </c>
      <c r="K337">
        <v>5</v>
      </c>
      <c r="L337">
        <v>56034</v>
      </c>
      <c r="M337">
        <v>2801.7</v>
      </c>
      <c r="N337">
        <v>53232.3</v>
      </c>
    </row>
    <row r="338" spans="1:14" x14ac:dyDescent="0.25">
      <c r="A338">
        <v>10337</v>
      </c>
      <c r="B338" s="4">
        <v>45263</v>
      </c>
      <c r="C338" t="s">
        <v>17</v>
      </c>
      <c r="D338" t="s">
        <v>14</v>
      </c>
      <c r="E338" t="s">
        <v>19</v>
      </c>
      <c r="F338" t="s">
        <v>31</v>
      </c>
      <c r="G338">
        <v>21</v>
      </c>
      <c r="H338" t="str">
        <f t="shared" si="5"/>
        <v>18-24</v>
      </c>
      <c r="I338">
        <v>2</v>
      </c>
      <c r="J338">
        <v>11045</v>
      </c>
      <c r="K338">
        <v>15</v>
      </c>
      <c r="L338">
        <v>22090</v>
      </c>
      <c r="M338">
        <v>3313.5</v>
      </c>
      <c r="N338">
        <v>18776.5</v>
      </c>
    </row>
    <row r="339" spans="1:14" x14ac:dyDescent="0.25">
      <c r="A339">
        <v>10338</v>
      </c>
      <c r="B339" s="4">
        <v>45264</v>
      </c>
      <c r="C339" t="s">
        <v>17</v>
      </c>
      <c r="D339" t="s">
        <v>27</v>
      </c>
      <c r="E339" t="s">
        <v>19</v>
      </c>
      <c r="F339" t="s">
        <v>23</v>
      </c>
      <c r="G339">
        <v>31</v>
      </c>
      <c r="H339" t="str">
        <f t="shared" si="5"/>
        <v>25-34</v>
      </c>
      <c r="I339">
        <v>3</v>
      </c>
      <c r="J339">
        <v>14430</v>
      </c>
      <c r="K339">
        <v>15</v>
      </c>
      <c r="L339">
        <v>43290</v>
      </c>
      <c r="M339">
        <v>6493.5</v>
      </c>
      <c r="N339">
        <v>36796.5</v>
      </c>
    </row>
    <row r="340" spans="1:14" x14ac:dyDescent="0.25">
      <c r="A340">
        <v>10339</v>
      </c>
      <c r="B340" s="4">
        <v>45265</v>
      </c>
      <c r="C340" t="s">
        <v>13</v>
      </c>
      <c r="D340" t="s">
        <v>22</v>
      </c>
      <c r="E340" t="s">
        <v>25</v>
      </c>
      <c r="F340" t="s">
        <v>20</v>
      </c>
      <c r="G340">
        <v>30</v>
      </c>
      <c r="H340" t="str">
        <f t="shared" si="5"/>
        <v>25-34</v>
      </c>
      <c r="I340">
        <v>7</v>
      </c>
      <c r="J340">
        <v>28495</v>
      </c>
      <c r="K340">
        <v>20</v>
      </c>
      <c r="L340">
        <v>199465</v>
      </c>
      <c r="M340">
        <v>39893</v>
      </c>
      <c r="N340">
        <v>159572</v>
      </c>
    </row>
    <row r="341" spans="1:14" x14ac:dyDescent="0.25">
      <c r="A341">
        <v>10340</v>
      </c>
      <c r="B341" s="4">
        <v>45266</v>
      </c>
      <c r="C341" t="s">
        <v>17</v>
      </c>
      <c r="D341" t="s">
        <v>27</v>
      </c>
      <c r="E341" t="s">
        <v>19</v>
      </c>
      <c r="F341" t="s">
        <v>16</v>
      </c>
      <c r="G341">
        <v>40</v>
      </c>
      <c r="H341" t="str">
        <f t="shared" si="5"/>
        <v>35-44</v>
      </c>
      <c r="I341">
        <v>3</v>
      </c>
      <c r="J341">
        <v>28375</v>
      </c>
      <c r="K341">
        <v>5</v>
      </c>
      <c r="L341">
        <v>85125</v>
      </c>
      <c r="M341">
        <v>4256.25</v>
      </c>
      <c r="N341">
        <v>80868.75</v>
      </c>
    </row>
    <row r="342" spans="1:14" x14ac:dyDescent="0.25">
      <c r="A342">
        <v>10341</v>
      </c>
      <c r="B342" s="4">
        <v>45267</v>
      </c>
      <c r="C342" t="s">
        <v>21</v>
      </c>
      <c r="D342" t="s">
        <v>18</v>
      </c>
      <c r="E342" t="s">
        <v>25</v>
      </c>
      <c r="F342" t="s">
        <v>26</v>
      </c>
      <c r="G342">
        <v>39</v>
      </c>
      <c r="H342" t="str">
        <f t="shared" si="5"/>
        <v>35-44</v>
      </c>
      <c r="I342">
        <v>1</v>
      </c>
      <c r="J342">
        <v>3736</v>
      </c>
      <c r="K342">
        <v>5</v>
      </c>
      <c r="L342">
        <v>3736</v>
      </c>
      <c r="M342">
        <v>186.8</v>
      </c>
      <c r="N342">
        <v>3549.2</v>
      </c>
    </row>
    <row r="343" spans="1:14" x14ac:dyDescent="0.25">
      <c r="A343">
        <v>10342</v>
      </c>
      <c r="B343" s="4">
        <v>45268</v>
      </c>
      <c r="C343" t="s">
        <v>33</v>
      </c>
      <c r="D343" t="s">
        <v>14</v>
      </c>
      <c r="E343" t="s">
        <v>25</v>
      </c>
      <c r="F343" t="s">
        <v>30</v>
      </c>
      <c r="G343">
        <v>46</v>
      </c>
      <c r="H343" t="str">
        <f t="shared" si="5"/>
        <v>45-54</v>
      </c>
      <c r="I343">
        <v>6</v>
      </c>
      <c r="J343">
        <v>49662</v>
      </c>
      <c r="K343">
        <v>20</v>
      </c>
      <c r="L343">
        <v>297972</v>
      </c>
      <c r="M343">
        <v>59594.400000000001</v>
      </c>
      <c r="N343">
        <v>238377.60000000001</v>
      </c>
    </row>
    <row r="344" spans="1:14" x14ac:dyDescent="0.25">
      <c r="A344">
        <v>10343</v>
      </c>
      <c r="B344" s="4">
        <v>45269</v>
      </c>
      <c r="C344" t="s">
        <v>33</v>
      </c>
      <c r="D344" t="s">
        <v>18</v>
      </c>
      <c r="E344" t="s">
        <v>25</v>
      </c>
      <c r="F344" t="s">
        <v>26</v>
      </c>
      <c r="G344">
        <v>31</v>
      </c>
      <c r="H344" t="str">
        <f t="shared" si="5"/>
        <v>25-34</v>
      </c>
      <c r="I344">
        <v>5</v>
      </c>
      <c r="J344">
        <v>6572</v>
      </c>
      <c r="K344">
        <v>0</v>
      </c>
      <c r="L344">
        <v>32860</v>
      </c>
      <c r="M344">
        <v>0</v>
      </c>
      <c r="N344">
        <v>32860</v>
      </c>
    </row>
    <row r="345" spans="1:14" x14ac:dyDescent="0.25">
      <c r="A345">
        <v>10344</v>
      </c>
      <c r="B345" s="4">
        <v>45270</v>
      </c>
      <c r="C345" t="s">
        <v>33</v>
      </c>
      <c r="D345" t="s">
        <v>14</v>
      </c>
      <c r="E345" t="s">
        <v>15</v>
      </c>
      <c r="F345" t="s">
        <v>24</v>
      </c>
      <c r="G345">
        <v>24</v>
      </c>
      <c r="H345" t="str">
        <f t="shared" si="5"/>
        <v>18-24</v>
      </c>
      <c r="I345">
        <v>1</v>
      </c>
      <c r="J345">
        <v>17469</v>
      </c>
      <c r="K345">
        <v>10</v>
      </c>
      <c r="L345">
        <v>17469</v>
      </c>
      <c r="M345">
        <v>1746.9</v>
      </c>
      <c r="N345">
        <v>15722.1</v>
      </c>
    </row>
    <row r="346" spans="1:14" x14ac:dyDescent="0.25">
      <c r="A346">
        <v>10345</v>
      </c>
      <c r="B346" s="4">
        <v>45271</v>
      </c>
      <c r="C346" t="s">
        <v>21</v>
      </c>
      <c r="D346" t="s">
        <v>29</v>
      </c>
      <c r="E346" t="s">
        <v>19</v>
      </c>
      <c r="F346" t="s">
        <v>16</v>
      </c>
      <c r="G346">
        <v>63</v>
      </c>
      <c r="H346" t="str">
        <f t="shared" si="5"/>
        <v>55+</v>
      </c>
      <c r="I346">
        <v>4</v>
      </c>
      <c r="J346">
        <v>13632</v>
      </c>
      <c r="K346">
        <v>10</v>
      </c>
      <c r="L346">
        <v>54528</v>
      </c>
      <c r="M346">
        <v>5452.8</v>
      </c>
      <c r="N346">
        <v>49075.199999999997</v>
      </c>
    </row>
    <row r="347" spans="1:14" x14ac:dyDescent="0.25">
      <c r="A347">
        <v>10346</v>
      </c>
      <c r="B347" s="4">
        <v>45272</v>
      </c>
      <c r="C347" t="s">
        <v>33</v>
      </c>
      <c r="D347" t="s">
        <v>14</v>
      </c>
      <c r="E347" t="s">
        <v>19</v>
      </c>
      <c r="F347" t="s">
        <v>31</v>
      </c>
      <c r="G347">
        <v>47</v>
      </c>
      <c r="H347" t="str">
        <f t="shared" si="5"/>
        <v>45-54</v>
      </c>
      <c r="I347">
        <v>8</v>
      </c>
      <c r="J347">
        <v>20287</v>
      </c>
      <c r="K347">
        <v>15</v>
      </c>
      <c r="L347">
        <v>162296</v>
      </c>
      <c r="M347">
        <v>24344.400000000001</v>
      </c>
      <c r="N347">
        <v>137951.6</v>
      </c>
    </row>
    <row r="348" spans="1:14" x14ac:dyDescent="0.25">
      <c r="A348">
        <v>10347</v>
      </c>
      <c r="B348" s="4">
        <v>45273</v>
      </c>
      <c r="C348" t="s">
        <v>33</v>
      </c>
      <c r="D348" t="s">
        <v>27</v>
      </c>
      <c r="E348" t="s">
        <v>25</v>
      </c>
      <c r="F348" t="s">
        <v>16</v>
      </c>
      <c r="G348">
        <v>24</v>
      </c>
      <c r="H348" t="str">
        <f t="shared" si="5"/>
        <v>18-24</v>
      </c>
      <c r="I348">
        <v>7</v>
      </c>
      <c r="J348">
        <v>22035</v>
      </c>
      <c r="K348">
        <v>0</v>
      </c>
      <c r="L348">
        <v>154245</v>
      </c>
      <c r="M348">
        <v>0</v>
      </c>
      <c r="N348">
        <v>154245</v>
      </c>
    </row>
    <row r="349" spans="1:14" x14ac:dyDescent="0.25">
      <c r="A349">
        <v>10348</v>
      </c>
      <c r="B349" s="4">
        <v>45274</v>
      </c>
      <c r="C349" t="s">
        <v>13</v>
      </c>
      <c r="D349" t="s">
        <v>27</v>
      </c>
      <c r="E349" t="s">
        <v>19</v>
      </c>
      <c r="F349" t="s">
        <v>16</v>
      </c>
      <c r="G349">
        <v>58</v>
      </c>
      <c r="H349" t="str">
        <f t="shared" si="5"/>
        <v>55+</v>
      </c>
      <c r="I349">
        <v>2</v>
      </c>
      <c r="J349">
        <v>26950</v>
      </c>
      <c r="K349">
        <v>5</v>
      </c>
      <c r="L349">
        <v>53900</v>
      </c>
      <c r="M349">
        <v>2695</v>
      </c>
      <c r="N349">
        <v>51205</v>
      </c>
    </row>
    <row r="350" spans="1:14" x14ac:dyDescent="0.25">
      <c r="A350">
        <v>10349</v>
      </c>
      <c r="B350" s="4">
        <v>45275</v>
      </c>
      <c r="C350" t="s">
        <v>21</v>
      </c>
      <c r="D350" t="s">
        <v>18</v>
      </c>
      <c r="E350" t="s">
        <v>15</v>
      </c>
      <c r="F350" t="s">
        <v>24</v>
      </c>
      <c r="G350">
        <v>25</v>
      </c>
      <c r="H350" t="str">
        <f t="shared" si="5"/>
        <v>25-34</v>
      </c>
      <c r="I350">
        <v>1</v>
      </c>
      <c r="J350">
        <v>31344</v>
      </c>
      <c r="K350">
        <v>20</v>
      </c>
      <c r="L350">
        <v>31344</v>
      </c>
      <c r="M350">
        <v>6268.8</v>
      </c>
      <c r="N350">
        <v>25075.200000000001</v>
      </c>
    </row>
    <row r="351" spans="1:14" x14ac:dyDescent="0.25">
      <c r="A351">
        <v>10350</v>
      </c>
      <c r="B351" s="4">
        <v>45276</v>
      </c>
      <c r="C351" t="s">
        <v>21</v>
      </c>
      <c r="D351" t="s">
        <v>27</v>
      </c>
      <c r="E351" t="s">
        <v>15</v>
      </c>
      <c r="F351" t="s">
        <v>28</v>
      </c>
      <c r="G351">
        <v>22</v>
      </c>
      <c r="H351" t="str">
        <f t="shared" si="5"/>
        <v>18-24</v>
      </c>
      <c r="I351">
        <v>3</v>
      </c>
      <c r="J351">
        <v>38169</v>
      </c>
      <c r="K351">
        <v>5</v>
      </c>
      <c r="L351">
        <v>114507</v>
      </c>
      <c r="M351">
        <v>5725.35</v>
      </c>
      <c r="N351">
        <v>108781.65</v>
      </c>
    </row>
    <row r="352" spans="1:14" x14ac:dyDescent="0.25">
      <c r="A352">
        <v>10351</v>
      </c>
      <c r="B352" s="4">
        <v>45277</v>
      </c>
      <c r="C352" t="s">
        <v>21</v>
      </c>
      <c r="D352" t="s">
        <v>27</v>
      </c>
      <c r="E352" t="s">
        <v>32</v>
      </c>
      <c r="F352" t="s">
        <v>23</v>
      </c>
      <c r="G352">
        <v>54</v>
      </c>
      <c r="H352" t="str">
        <f t="shared" si="5"/>
        <v>45-54</v>
      </c>
      <c r="I352">
        <v>9</v>
      </c>
      <c r="J352">
        <v>27662</v>
      </c>
      <c r="K352">
        <v>0</v>
      </c>
      <c r="L352">
        <v>248958</v>
      </c>
      <c r="M352">
        <v>0</v>
      </c>
      <c r="N352">
        <v>248958</v>
      </c>
    </row>
    <row r="353" spans="1:14" x14ac:dyDescent="0.25">
      <c r="A353">
        <v>10352</v>
      </c>
      <c r="B353" s="4">
        <v>45278</v>
      </c>
      <c r="C353" t="s">
        <v>21</v>
      </c>
      <c r="D353" t="s">
        <v>22</v>
      </c>
      <c r="E353" t="s">
        <v>15</v>
      </c>
      <c r="F353" t="s">
        <v>30</v>
      </c>
      <c r="G353">
        <v>46</v>
      </c>
      <c r="H353" t="str">
        <f t="shared" si="5"/>
        <v>45-54</v>
      </c>
      <c r="I353">
        <v>9</v>
      </c>
      <c r="J353">
        <v>1487</v>
      </c>
      <c r="K353">
        <v>10</v>
      </c>
      <c r="L353">
        <v>13383</v>
      </c>
      <c r="M353">
        <v>1338.3</v>
      </c>
      <c r="N353">
        <v>12044.7</v>
      </c>
    </row>
    <row r="354" spans="1:14" x14ac:dyDescent="0.25">
      <c r="A354">
        <v>10353</v>
      </c>
      <c r="B354" s="4">
        <v>45279</v>
      </c>
      <c r="C354" t="s">
        <v>33</v>
      </c>
      <c r="D354" t="s">
        <v>14</v>
      </c>
      <c r="E354" t="s">
        <v>25</v>
      </c>
      <c r="F354" t="s">
        <v>28</v>
      </c>
      <c r="G354">
        <v>53</v>
      </c>
      <c r="H354" t="str">
        <f t="shared" si="5"/>
        <v>45-54</v>
      </c>
      <c r="I354">
        <v>6</v>
      </c>
      <c r="J354">
        <v>33940</v>
      </c>
      <c r="K354">
        <v>0</v>
      </c>
      <c r="L354">
        <v>203640</v>
      </c>
      <c r="M354">
        <v>0</v>
      </c>
      <c r="N354">
        <v>203640</v>
      </c>
    </row>
    <row r="355" spans="1:14" x14ac:dyDescent="0.25">
      <c r="A355">
        <v>10354</v>
      </c>
      <c r="B355" s="4">
        <v>45280</v>
      </c>
      <c r="C355" t="s">
        <v>13</v>
      </c>
      <c r="D355" t="s">
        <v>27</v>
      </c>
      <c r="E355" t="s">
        <v>32</v>
      </c>
      <c r="F355" t="s">
        <v>16</v>
      </c>
      <c r="G355">
        <v>25</v>
      </c>
      <c r="H355" t="str">
        <f t="shared" si="5"/>
        <v>25-34</v>
      </c>
      <c r="I355">
        <v>8</v>
      </c>
      <c r="J355">
        <v>42722</v>
      </c>
      <c r="K355">
        <v>20</v>
      </c>
      <c r="L355">
        <v>341776</v>
      </c>
      <c r="M355">
        <v>68355.199999999997</v>
      </c>
      <c r="N355">
        <v>273420.79999999999</v>
      </c>
    </row>
    <row r="356" spans="1:14" x14ac:dyDescent="0.25">
      <c r="A356">
        <v>10355</v>
      </c>
      <c r="B356" s="4">
        <v>45281</v>
      </c>
      <c r="C356" t="s">
        <v>17</v>
      </c>
      <c r="D356" t="s">
        <v>18</v>
      </c>
      <c r="E356" t="s">
        <v>32</v>
      </c>
      <c r="F356" t="s">
        <v>24</v>
      </c>
      <c r="G356">
        <v>36</v>
      </c>
      <c r="H356" t="str">
        <f t="shared" si="5"/>
        <v>35-44</v>
      </c>
      <c r="I356">
        <v>1</v>
      </c>
      <c r="J356">
        <v>10731</v>
      </c>
      <c r="K356">
        <v>10</v>
      </c>
      <c r="L356">
        <v>10731</v>
      </c>
      <c r="M356">
        <v>1073.0999999999999</v>
      </c>
      <c r="N356">
        <v>9657.9</v>
      </c>
    </row>
    <row r="357" spans="1:14" x14ac:dyDescent="0.25">
      <c r="A357">
        <v>10356</v>
      </c>
      <c r="B357" s="4">
        <v>45282</v>
      </c>
      <c r="C357" t="s">
        <v>17</v>
      </c>
      <c r="D357" t="s">
        <v>27</v>
      </c>
      <c r="E357" t="s">
        <v>19</v>
      </c>
      <c r="F357" t="s">
        <v>24</v>
      </c>
      <c r="G357">
        <v>26</v>
      </c>
      <c r="H357" t="str">
        <f t="shared" si="5"/>
        <v>25-34</v>
      </c>
      <c r="I357">
        <v>7</v>
      </c>
      <c r="J357">
        <v>20024</v>
      </c>
      <c r="K357">
        <v>10</v>
      </c>
      <c r="L357">
        <v>140168</v>
      </c>
      <c r="M357">
        <v>14016.8</v>
      </c>
      <c r="N357">
        <v>126151.2</v>
      </c>
    </row>
    <row r="358" spans="1:14" x14ac:dyDescent="0.25">
      <c r="A358">
        <v>10357</v>
      </c>
      <c r="B358" s="4">
        <v>45283</v>
      </c>
      <c r="C358" t="s">
        <v>13</v>
      </c>
      <c r="D358" t="s">
        <v>29</v>
      </c>
      <c r="E358" t="s">
        <v>15</v>
      </c>
      <c r="F358" t="s">
        <v>20</v>
      </c>
      <c r="G358">
        <v>20</v>
      </c>
      <c r="H358" t="str">
        <f t="shared" si="5"/>
        <v>18-24</v>
      </c>
      <c r="I358">
        <v>5</v>
      </c>
      <c r="J358">
        <v>19451</v>
      </c>
      <c r="K358">
        <v>15</v>
      </c>
      <c r="L358">
        <v>97255</v>
      </c>
      <c r="M358">
        <v>14588.25</v>
      </c>
      <c r="N358">
        <v>82666.75</v>
      </c>
    </row>
    <row r="359" spans="1:14" x14ac:dyDescent="0.25">
      <c r="A359">
        <v>10358</v>
      </c>
      <c r="B359" s="4">
        <v>45284</v>
      </c>
      <c r="C359" t="s">
        <v>21</v>
      </c>
      <c r="D359" t="s">
        <v>22</v>
      </c>
      <c r="E359" t="s">
        <v>25</v>
      </c>
      <c r="F359" t="s">
        <v>16</v>
      </c>
      <c r="G359">
        <v>36</v>
      </c>
      <c r="H359" t="str">
        <f t="shared" si="5"/>
        <v>35-44</v>
      </c>
      <c r="I359">
        <v>7</v>
      </c>
      <c r="J359">
        <v>41671</v>
      </c>
      <c r="K359">
        <v>15</v>
      </c>
      <c r="L359">
        <v>291697</v>
      </c>
      <c r="M359">
        <v>43754.55</v>
      </c>
      <c r="N359">
        <v>247942.45</v>
      </c>
    </row>
    <row r="360" spans="1:14" x14ac:dyDescent="0.25">
      <c r="A360">
        <v>10359</v>
      </c>
      <c r="B360" s="4">
        <v>45285</v>
      </c>
      <c r="C360" t="s">
        <v>33</v>
      </c>
      <c r="D360" t="s">
        <v>27</v>
      </c>
      <c r="E360" t="s">
        <v>15</v>
      </c>
      <c r="F360" t="s">
        <v>30</v>
      </c>
      <c r="G360">
        <v>64</v>
      </c>
      <c r="H360" t="str">
        <f t="shared" si="5"/>
        <v>55+</v>
      </c>
      <c r="I360">
        <v>4</v>
      </c>
      <c r="J360">
        <v>12147</v>
      </c>
      <c r="K360">
        <v>5</v>
      </c>
      <c r="L360">
        <v>48588</v>
      </c>
      <c r="M360">
        <v>2429.4</v>
      </c>
      <c r="N360">
        <v>46158.6</v>
      </c>
    </row>
    <row r="361" spans="1:14" x14ac:dyDescent="0.25">
      <c r="A361">
        <v>10360</v>
      </c>
      <c r="B361" s="4">
        <v>45286</v>
      </c>
      <c r="C361" t="s">
        <v>33</v>
      </c>
      <c r="D361" t="s">
        <v>18</v>
      </c>
      <c r="E361" t="s">
        <v>32</v>
      </c>
      <c r="F361" t="s">
        <v>24</v>
      </c>
      <c r="G361">
        <v>59</v>
      </c>
      <c r="H361" t="str">
        <f t="shared" si="5"/>
        <v>55+</v>
      </c>
      <c r="I361">
        <v>3</v>
      </c>
      <c r="J361">
        <v>5480</v>
      </c>
      <c r="K361">
        <v>10</v>
      </c>
      <c r="L361">
        <v>16440</v>
      </c>
      <c r="M361">
        <v>1644</v>
      </c>
      <c r="N361">
        <v>14796</v>
      </c>
    </row>
    <row r="362" spans="1:14" x14ac:dyDescent="0.25">
      <c r="A362">
        <v>10361</v>
      </c>
      <c r="B362" s="4">
        <v>45287</v>
      </c>
      <c r="C362" t="s">
        <v>13</v>
      </c>
      <c r="D362" t="s">
        <v>27</v>
      </c>
      <c r="E362" t="s">
        <v>15</v>
      </c>
      <c r="F362" t="s">
        <v>23</v>
      </c>
      <c r="G362">
        <v>36</v>
      </c>
      <c r="H362" t="str">
        <f t="shared" si="5"/>
        <v>35-44</v>
      </c>
      <c r="I362">
        <v>3</v>
      </c>
      <c r="J362">
        <v>38899</v>
      </c>
      <c r="K362">
        <v>5</v>
      </c>
      <c r="L362">
        <v>116697</v>
      </c>
      <c r="M362">
        <v>5834.85</v>
      </c>
      <c r="N362">
        <v>110862.15</v>
      </c>
    </row>
    <row r="363" spans="1:14" x14ac:dyDescent="0.25">
      <c r="A363">
        <v>10362</v>
      </c>
      <c r="B363" s="4">
        <v>45288</v>
      </c>
      <c r="C363" t="s">
        <v>33</v>
      </c>
      <c r="D363" t="s">
        <v>29</v>
      </c>
      <c r="E363" t="s">
        <v>15</v>
      </c>
      <c r="F363" t="s">
        <v>24</v>
      </c>
      <c r="G363">
        <v>40</v>
      </c>
      <c r="H363" t="str">
        <f t="shared" si="5"/>
        <v>35-44</v>
      </c>
      <c r="I363">
        <v>5</v>
      </c>
      <c r="J363">
        <v>26968</v>
      </c>
      <c r="K363">
        <v>20</v>
      </c>
      <c r="L363">
        <v>134840</v>
      </c>
      <c r="M363">
        <v>26968</v>
      </c>
      <c r="N363">
        <v>107872</v>
      </c>
    </row>
    <row r="364" spans="1:14" x14ac:dyDescent="0.25">
      <c r="A364">
        <v>10363</v>
      </c>
      <c r="B364" s="4">
        <v>45289</v>
      </c>
      <c r="C364" t="s">
        <v>13</v>
      </c>
      <c r="D364" t="s">
        <v>18</v>
      </c>
      <c r="E364" t="s">
        <v>15</v>
      </c>
      <c r="F364" t="s">
        <v>30</v>
      </c>
      <c r="G364">
        <v>47</v>
      </c>
      <c r="H364" t="str">
        <f t="shared" si="5"/>
        <v>45-54</v>
      </c>
      <c r="I364">
        <v>4</v>
      </c>
      <c r="J364">
        <v>26988</v>
      </c>
      <c r="K364">
        <v>20</v>
      </c>
      <c r="L364">
        <v>107952</v>
      </c>
      <c r="M364">
        <v>21590.400000000001</v>
      </c>
      <c r="N364">
        <v>86361.600000000006</v>
      </c>
    </row>
    <row r="365" spans="1:14" x14ac:dyDescent="0.25">
      <c r="A365">
        <v>10364</v>
      </c>
      <c r="B365" s="4">
        <v>45290</v>
      </c>
      <c r="C365" t="s">
        <v>33</v>
      </c>
      <c r="D365" t="s">
        <v>22</v>
      </c>
      <c r="E365" t="s">
        <v>15</v>
      </c>
      <c r="F365" t="s">
        <v>31</v>
      </c>
      <c r="G365">
        <v>53</v>
      </c>
      <c r="H365" t="str">
        <f t="shared" si="5"/>
        <v>45-54</v>
      </c>
      <c r="I365">
        <v>7</v>
      </c>
      <c r="J365">
        <v>24980</v>
      </c>
      <c r="K365">
        <v>10</v>
      </c>
      <c r="L365">
        <v>174860</v>
      </c>
      <c r="M365">
        <v>17486</v>
      </c>
      <c r="N365">
        <v>157374</v>
      </c>
    </row>
    <row r="366" spans="1:14" x14ac:dyDescent="0.25">
      <c r="A366">
        <v>10365</v>
      </c>
      <c r="B366" s="4">
        <v>45291</v>
      </c>
      <c r="C366" t="s">
        <v>13</v>
      </c>
      <c r="D366" t="s">
        <v>27</v>
      </c>
      <c r="E366" t="s">
        <v>15</v>
      </c>
      <c r="F366" t="s">
        <v>28</v>
      </c>
      <c r="G366">
        <v>29</v>
      </c>
      <c r="H366" t="str">
        <f t="shared" si="5"/>
        <v>25-34</v>
      </c>
      <c r="I366">
        <v>9</v>
      </c>
      <c r="J366">
        <v>17032</v>
      </c>
      <c r="K366">
        <v>5</v>
      </c>
      <c r="L366">
        <v>153288</v>
      </c>
      <c r="M366">
        <v>7664.4</v>
      </c>
      <c r="N366">
        <v>145623.6</v>
      </c>
    </row>
    <row r="367" spans="1:14" x14ac:dyDescent="0.25">
      <c r="A367">
        <v>10366</v>
      </c>
      <c r="B367" s="4">
        <v>45292</v>
      </c>
      <c r="C367" t="s">
        <v>33</v>
      </c>
      <c r="D367" t="s">
        <v>14</v>
      </c>
      <c r="E367" t="s">
        <v>25</v>
      </c>
      <c r="F367" t="s">
        <v>24</v>
      </c>
      <c r="G367">
        <v>30</v>
      </c>
      <c r="H367" t="str">
        <f t="shared" si="5"/>
        <v>25-34</v>
      </c>
      <c r="I367">
        <v>5</v>
      </c>
      <c r="J367">
        <v>24742</v>
      </c>
      <c r="K367">
        <v>15</v>
      </c>
      <c r="L367">
        <v>123710</v>
      </c>
      <c r="M367">
        <v>18556.5</v>
      </c>
      <c r="N367">
        <v>105153.5</v>
      </c>
    </row>
    <row r="368" spans="1:14" x14ac:dyDescent="0.25">
      <c r="A368">
        <v>10367</v>
      </c>
      <c r="B368" s="4">
        <v>45293</v>
      </c>
      <c r="C368" t="s">
        <v>21</v>
      </c>
      <c r="D368" t="s">
        <v>29</v>
      </c>
      <c r="E368" t="s">
        <v>25</v>
      </c>
      <c r="F368" t="s">
        <v>31</v>
      </c>
      <c r="G368">
        <v>55</v>
      </c>
      <c r="H368" t="str">
        <f t="shared" si="5"/>
        <v>55+</v>
      </c>
      <c r="I368">
        <v>3</v>
      </c>
      <c r="J368">
        <v>48886</v>
      </c>
      <c r="K368">
        <v>10</v>
      </c>
      <c r="L368">
        <v>146658</v>
      </c>
      <c r="M368">
        <v>14665.8</v>
      </c>
      <c r="N368">
        <v>131992.20000000001</v>
      </c>
    </row>
    <row r="369" spans="1:14" x14ac:dyDescent="0.25">
      <c r="A369">
        <v>10368</v>
      </c>
      <c r="B369" s="4">
        <v>45294</v>
      </c>
      <c r="C369" t="s">
        <v>21</v>
      </c>
      <c r="D369" t="s">
        <v>27</v>
      </c>
      <c r="E369" t="s">
        <v>25</v>
      </c>
      <c r="F369" t="s">
        <v>23</v>
      </c>
      <c r="G369">
        <v>32</v>
      </c>
      <c r="H369" t="str">
        <f t="shared" si="5"/>
        <v>25-34</v>
      </c>
      <c r="I369">
        <v>1</v>
      </c>
      <c r="J369">
        <v>839</v>
      </c>
      <c r="K369">
        <v>0</v>
      </c>
      <c r="L369">
        <v>839</v>
      </c>
      <c r="M369">
        <v>0</v>
      </c>
      <c r="N369">
        <v>839</v>
      </c>
    </row>
    <row r="370" spans="1:14" x14ac:dyDescent="0.25">
      <c r="A370">
        <v>10369</v>
      </c>
      <c r="B370" s="4">
        <v>45295</v>
      </c>
      <c r="C370" t="s">
        <v>33</v>
      </c>
      <c r="D370" t="s">
        <v>22</v>
      </c>
      <c r="E370" t="s">
        <v>25</v>
      </c>
      <c r="F370" t="s">
        <v>24</v>
      </c>
      <c r="G370">
        <v>23</v>
      </c>
      <c r="H370" t="str">
        <f t="shared" si="5"/>
        <v>18-24</v>
      </c>
      <c r="I370">
        <v>7</v>
      </c>
      <c r="J370">
        <v>6416</v>
      </c>
      <c r="K370">
        <v>0</v>
      </c>
      <c r="L370">
        <v>44912</v>
      </c>
      <c r="M370">
        <v>0</v>
      </c>
      <c r="N370">
        <v>44912</v>
      </c>
    </row>
    <row r="371" spans="1:14" x14ac:dyDescent="0.25">
      <c r="A371">
        <v>10370</v>
      </c>
      <c r="B371" s="4">
        <v>45296</v>
      </c>
      <c r="C371" t="s">
        <v>33</v>
      </c>
      <c r="D371" t="s">
        <v>14</v>
      </c>
      <c r="E371" t="s">
        <v>15</v>
      </c>
      <c r="F371" t="s">
        <v>28</v>
      </c>
      <c r="G371">
        <v>42</v>
      </c>
      <c r="H371" t="str">
        <f t="shared" si="5"/>
        <v>35-44</v>
      </c>
      <c r="I371">
        <v>6</v>
      </c>
      <c r="J371">
        <v>31242</v>
      </c>
      <c r="K371">
        <v>15</v>
      </c>
      <c r="L371">
        <v>187452</v>
      </c>
      <c r="M371">
        <v>28117.8</v>
      </c>
      <c r="N371">
        <v>159334.20000000001</v>
      </c>
    </row>
    <row r="372" spans="1:14" x14ac:dyDescent="0.25">
      <c r="A372">
        <v>10371</v>
      </c>
      <c r="B372" s="4">
        <v>45297</v>
      </c>
      <c r="C372" t="s">
        <v>21</v>
      </c>
      <c r="D372" t="s">
        <v>14</v>
      </c>
      <c r="E372" t="s">
        <v>25</v>
      </c>
      <c r="F372" t="s">
        <v>16</v>
      </c>
      <c r="G372">
        <v>23</v>
      </c>
      <c r="H372" t="str">
        <f t="shared" si="5"/>
        <v>18-24</v>
      </c>
      <c r="I372">
        <v>6</v>
      </c>
      <c r="J372">
        <v>26095</v>
      </c>
      <c r="K372">
        <v>5</v>
      </c>
      <c r="L372">
        <v>156570</v>
      </c>
      <c r="M372">
        <v>7828.5</v>
      </c>
      <c r="N372">
        <v>148741.5</v>
      </c>
    </row>
    <row r="373" spans="1:14" x14ac:dyDescent="0.25">
      <c r="A373">
        <v>10372</v>
      </c>
      <c r="B373" s="4">
        <v>45298</v>
      </c>
      <c r="C373" t="s">
        <v>13</v>
      </c>
      <c r="D373" t="s">
        <v>14</v>
      </c>
      <c r="E373" t="s">
        <v>19</v>
      </c>
      <c r="F373" t="s">
        <v>26</v>
      </c>
      <c r="G373">
        <v>47</v>
      </c>
      <c r="H373" t="str">
        <f t="shared" si="5"/>
        <v>45-54</v>
      </c>
      <c r="I373">
        <v>3</v>
      </c>
      <c r="J373">
        <v>12033</v>
      </c>
      <c r="K373">
        <v>15</v>
      </c>
      <c r="L373">
        <v>36099</v>
      </c>
      <c r="M373">
        <v>5414.85</v>
      </c>
      <c r="N373">
        <v>30684.15</v>
      </c>
    </row>
    <row r="374" spans="1:14" x14ac:dyDescent="0.25">
      <c r="A374">
        <v>10373</v>
      </c>
      <c r="B374" s="4">
        <v>45299</v>
      </c>
      <c r="C374" t="s">
        <v>33</v>
      </c>
      <c r="D374" t="s">
        <v>18</v>
      </c>
      <c r="E374" t="s">
        <v>32</v>
      </c>
      <c r="F374" t="s">
        <v>31</v>
      </c>
      <c r="G374">
        <v>31</v>
      </c>
      <c r="H374" t="str">
        <f t="shared" si="5"/>
        <v>25-34</v>
      </c>
      <c r="I374">
        <v>6</v>
      </c>
      <c r="J374">
        <v>1197</v>
      </c>
      <c r="K374">
        <v>0</v>
      </c>
      <c r="L374">
        <v>7182</v>
      </c>
      <c r="M374">
        <v>0</v>
      </c>
      <c r="N374">
        <v>7182</v>
      </c>
    </row>
    <row r="375" spans="1:14" x14ac:dyDescent="0.25">
      <c r="A375">
        <v>10374</v>
      </c>
      <c r="B375" s="4">
        <v>45300</v>
      </c>
      <c r="C375" t="s">
        <v>21</v>
      </c>
      <c r="D375" t="s">
        <v>18</v>
      </c>
      <c r="E375" t="s">
        <v>25</v>
      </c>
      <c r="F375" t="s">
        <v>16</v>
      </c>
      <c r="G375">
        <v>42</v>
      </c>
      <c r="H375" t="str">
        <f t="shared" si="5"/>
        <v>35-44</v>
      </c>
      <c r="I375">
        <v>4</v>
      </c>
      <c r="J375">
        <v>9065</v>
      </c>
      <c r="K375">
        <v>15</v>
      </c>
      <c r="L375">
        <v>36260</v>
      </c>
      <c r="M375">
        <v>5439</v>
      </c>
      <c r="N375">
        <v>30821</v>
      </c>
    </row>
    <row r="376" spans="1:14" x14ac:dyDescent="0.25">
      <c r="A376">
        <v>10375</v>
      </c>
      <c r="B376" s="4">
        <v>45301</v>
      </c>
      <c r="C376" t="s">
        <v>33</v>
      </c>
      <c r="D376" t="s">
        <v>27</v>
      </c>
      <c r="E376" t="s">
        <v>25</v>
      </c>
      <c r="F376" t="s">
        <v>30</v>
      </c>
      <c r="G376">
        <v>60</v>
      </c>
      <c r="H376" t="str">
        <f t="shared" si="5"/>
        <v>55+</v>
      </c>
      <c r="I376">
        <v>1</v>
      </c>
      <c r="J376">
        <v>38465</v>
      </c>
      <c r="K376">
        <v>20</v>
      </c>
      <c r="L376">
        <v>38465</v>
      </c>
      <c r="M376">
        <v>7693</v>
      </c>
      <c r="N376">
        <v>30772</v>
      </c>
    </row>
    <row r="377" spans="1:14" x14ac:dyDescent="0.25">
      <c r="A377">
        <v>10376</v>
      </c>
      <c r="B377" s="4">
        <v>45302</v>
      </c>
      <c r="C377" t="s">
        <v>17</v>
      </c>
      <c r="D377" t="s">
        <v>14</v>
      </c>
      <c r="E377" t="s">
        <v>19</v>
      </c>
      <c r="F377" t="s">
        <v>28</v>
      </c>
      <c r="G377">
        <v>28</v>
      </c>
      <c r="H377" t="str">
        <f t="shared" si="5"/>
        <v>25-34</v>
      </c>
      <c r="I377">
        <v>4</v>
      </c>
      <c r="J377">
        <v>514</v>
      </c>
      <c r="K377">
        <v>5</v>
      </c>
      <c r="L377">
        <v>2056</v>
      </c>
      <c r="M377">
        <v>102.8</v>
      </c>
      <c r="N377">
        <v>1953.2</v>
      </c>
    </row>
    <row r="378" spans="1:14" x14ac:dyDescent="0.25">
      <c r="A378">
        <v>10377</v>
      </c>
      <c r="B378" s="4">
        <v>45303</v>
      </c>
      <c r="C378" t="s">
        <v>21</v>
      </c>
      <c r="D378" t="s">
        <v>27</v>
      </c>
      <c r="E378" t="s">
        <v>15</v>
      </c>
      <c r="F378" t="s">
        <v>24</v>
      </c>
      <c r="G378">
        <v>19</v>
      </c>
      <c r="H378" t="str">
        <f t="shared" si="5"/>
        <v>18-24</v>
      </c>
      <c r="I378">
        <v>4</v>
      </c>
      <c r="J378">
        <v>1424</v>
      </c>
      <c r="K378">
        <v>15</v>
      </c>
      <c r="L378">
        <v>5696</v>
      </c>
      <c r="M378">
        <v>854.4</v>
      </c>
      <c r="N378">
        <v>4841.6000000000004</v>
      </c>
    </row>
    <row r="379" spans="1:14" x14ac:dyDescent="0.25">
      <c r="A379">
        <v>10378</v>
      </c>
      <c r="B379" s="4">
        <v>45304</v>
      </c>
      <c r="C379" t="s">
        <v>17</v>
      </c>
      <c r="D379" t="s">
        <v>22</v>
      </c>
      <c r="E379" t="s">
        <v>32</v>
      </c>
      <c r="F379" t="s">
        <v>26</v>
      </c>
      <c r="G379">
        <v>39</v>
      </c>
      <c r="H379" t="str">
        <f t="shared" si="5"/>
        <v>35-44</v>
      </c>
      <c r="I379">
        <v>7</v>
      </c>
      <c r="J379">
        <v>1765</v>
      </c>
      <c r="K379">
        <v>5</v>
      </c>
      <c r="L379">
        <v>12355</v>
      </c>
      <c r="M379">
        <v>617.75</v>
      </c>
      <c r="N379">
        <v>11737.25</v>
      </c>
    </row>
    <row r="380" spans="1:14" x14ac:dyDescent="0.25">
      <c r="A380">
        <v>10379</v>
      </c>
      <c r="B380" s="4">
        <v>45305</v>
      </c>
      <c r="C380" t="s">
        <v>13</v>
      </c>
      <c r="D380" t="s">
        <v>27</v>
      </c>
      <c r="E380" t="s">
        <v>32</v>
      </c>
      <c r="F380" t="s">
        <v>20</v>
      </c>
      <c r="G380">
        <v>55</v>
      </c>
      <c r="H380" t="str">
        <f t="shared" si="5"/>
        <v>55+</v>
      </c>
      <c r="I380">
        <v>7</v>
      </c>
      <c r="J380">
        <v>23901</v>
      </c>
      <c r="K380">
        <v>5</v>
      </c>
      <c r="L380">
        <v>167307</v>
      </c>
      <c r="M380">
        <v>8365.35</v>
      </c>
      <c r="N380">
        <v>158941.65</v>
      </c>
    </row>
    <row r="381" spans="1:14" x14ac:dyDescent="0.25">
      <c r="A381">
        <v>10380</v>
      </c>
      <c r="B381" s="4">
        <v>45306</v>
      </c>
      <c r="C381" t="s">
        <v>21</v>
      </c>
      <c r="D381" t="s">
        <v>29</v>
      </c>
      <c r="E381" t="s">
        <v>25</v>
      </c>
      <c r="F381" t="s">
        <v>20</v>
      </c>
      <c r="G381">
        <v>38</v>
      </c>
      <c r="H381" t="str">
        <f t="shared" si="5"/>
        <v>35-44</v>
      </c>
      <c r="I381">
        <v>9</v>
      </c>
      <c r="J381">
        <v>19722</v>
      </c>
      <c r="K381">
        <v>20</v>
      </c>
      <c r="L381">
        <v>177498</v>
      </c>
      <c r="M381">
        <v>35499.599999999999</v>
      </c>
      <c r="N381">
        <v>141998.39999999999</v>
      </c>
    </row>
    <row r="382" spans="1:14" x14ac:dyDescent="0.25">
      <c r="A382">
        <v>10381</v>
      </c>
      <c r="B382" s="4">
        <v>45307</v>
      </c>
      <c r="C382" t="s">
        <v>21</v>
      </c>
      <c r="D382" t="s">
        <v>27</v>
      </c>
      <c r="E382" t="s">
        <v>32</v>
      </c>
      <c r="F382" t="s">
        <v>16</v>
      </c>
      <c r="G382">
        <v>31</v>
      </c>
      <c r="H382" t="str">
        <f t="shared" si="5"/>
        <v>25-34</v>
      </c>
      <c r="I382">
        <v>7</v>
      </c>
      <c r="J382">
        <v>9049</v>
      </c>
      <c r="K382">
        <v>0</v>
      </c>
      <c r="L382">
        <v>63343</v>
      </c>
      <c r="M382">
        <v>0</v>
      </c>
      <c r="N382">
        <v>63343</v>
      </c>
    </row>
    <row r="383" spans="1:14" x14ac:dyDescent="0.25">
      <c r="A383">
        <v>10382</v>
      </c>
      <c r="B383" s="4">
        <v>45308</v>
      </c>
      <c r="C383" t="s">
        <v>17</v>
      </c>
      <c r="D383" t="s">
        <v>27</v>
      </c>
      <c r="E383" t="s">
        <v>19</v>
      </c>
      <c r="F383" t="s">
        <v>23</v>
      </c>
      <c r="G383">
        <v>61</v>
      </c>
      <c r="H383" t="str">
        <f t="shared" si="5"/>
        <v>55+</v>
      </c>
      <c r="I383">
        <v>5</v>
      </c>
      <c r="J383">
        <v>7897</v>
      </c>
      <c r="K383">
        <v>5</v>
      </c>
      <c r="L383">
        <v>39485</v>
      </c>
      <c r="M383">
        <v>1974.25</v>
      </c>
      <c r="N383">
        <v>37510.75</v>
      </c>
    </row>
    <row r="384" spans="1:14" x14ac:dyDescent="0.25">
      <c r="A384">
        <v>10383</v>
      </c>
      <c r="B384" s="4">
        <v>45309</v>
      </c>
      <c r="C384" t="s">
        <v>17</v>
      </c>
      <c r="D384" t="s">
        <v>14</v>
      </c>
      <c r="E384" t="s">
        <v>32</v>
      </c>
      <c r="F384" t="s">
        <v>31</v>
      </c>
      <c r="G384">
        <v>44</v>
      </c>
      <c r="H384" t="str">
        <f t="shared" si="5"/>
        <v>35-44</v>
      </c>
      <c r="I384">
        <v>2</v>
      </c>
      <c r="J384">
        <v>24530</v>
      </c>
      <c r="K384">
        <v>0</v>
      </c>
      <c r="L384">
        <v>49060</v>
      </c>
      <c r="M384">
        <v>0</v>
      </c>
      <c r="N384">
        <v>49060</v>
      </c>
    </row>
    <row r="385" spans="1:14" x14ac:dyDescent="0.25">
      <c r="A385">
        <v>10384</v>
      </c>
      <c r="B385" s="4">
        <v>45310</v>
      </c>
      <c r="C385" t="s">
        <v>33</v>
      </c>
      <c r="D385" t="s">
        <v>14</v>
      </c>
      <c r="E385" t="s">
        <v>25</v>
      </c>
      <c r="F385" t="s">
        <v>30</v>
      </c>
      <c r="G385">
        <v>24</v>
      </c>
      <c r="H385" t="str">
        <f t="shared" si="5"/>
        <v>18-24</v>
      </c>
      <c r="I385">
        <v>3</v>
      </c>
      <c r="J385">
        <v>8633</v>
      </c>
      <c r="K385">
        <v>15</v>
      </c>
      <c r="L385">
        <v>25899</v>
      </c>
      <c r="M385">
        <v>3884.85</v>
      </c>
      <c r="N385">
        <v>22014.15</v>
      </c>
    </row>
    <row r="386" spans="1:14" x14ac:dyDescent="0.25">
      <c r="A386">
        <v>10385</v>
      </c>
      <c r="B386" s="4">
        <v>45311</v>
      </c>
      <c r="C386" t="s">
        <v>17</v>
      </c>
      <c r="D386" t="s">
        <v>22</v>
      </c>
      <c r="E386" t="s">
        <v>25</v>
      </c>
      <c r="F386" t="s">
        <v>16</v>
      </c>
      <c r="G386">
        <v>49</v>
      </c>
      <c r="H386" t="str">
        <f t="shared" si="5"/>
        <v>45-54</v>
      </c>
      <c r="I386">
        <v>1</v>
      </c>
      <c r="J386">
        <v>27612</v>
      </c>
      <c r="K386">
        <v>10</v>
      </c>
      <c r="L386">
        <v>27612</v>
      </c>
      <c r="M386">
        <v>2761.2</v>
      </c>
      <c r="N386">
        <v>24850.799999999999</v>
      </c>
    </row>
    <row r="387" spans="1:14" x14ac:dyDescent="0.25">
      <c r="A387">
        <v>10386</v>
      </c>
      <c r="B387" s="4">
        <v>45312</v>
      </c>
      <c r="C387" t="s">
        <v>21</v>
      </c>
      <c r="D387" t="s">
        <v>18</v>
      </c>
      <c r="E387" t="s">
        <v>32</v>
      </c>
      <c r="F387" t="s">
        <v>31</v>
      </c>
      <c r="G387">
        <v>37</v>
      </c>
      <c r="H387" t="str">
        <f t="shared" ref="H387:H450" si="6">IF(G387&lt;25,"18-24",IF(G387&lt;35,"25-34",IF(G387&lt;45,"35-44",IF(G387&lt;55,"45-54","55+"))))</f>
        <v>35-44</v>
      </c>
      <c r="I387">
        <v>2</v>
      </c>
      <c r="J387">
        <v>31648</v>
      </c>
      <c r="K387">
        <v>0</v>
      </c>
      <c r="L387">
        <v>63296</v>
      </c>
      <c r="M387">
        <v>0</v>
      </c>
      <c r="N387">
        <v>63296</v>
      </c>
    </row>
    <row r="388" spans="1:14" x14ac:dyDescent="0.25">
      <c r="A388">
        <v>10387</v>
      </c>
      <c r="B388" s="4">
        <v>45313</v>
      </c>
      <c r="C388" t="s">
        <v>17</v>
      </c>
      <c r="D388" t="s">
        <v>29</v>
      </c>
      <c r="E388" t="s">
        <v>25</v>
      </c>
      <c r="F388" t="s">
        <v>26</v>
      </c>
      <c r="G388">
        <v>19</v>
      </c>
      <c r="H388" t="str">
        <f t="shared" si="6"/>
        <v>18-24</v>
      </c>
      <c r="I388">
        <v>1</v>
      </c>
      <c r="J388">
        <v>25191</v>
      </c>
      <c r="K388">
        <v>20</v>
      </c>
      <c r="L388">
        <v>25191</v>
      </c>
      <c r="M388">
        <v>5038.2</v>
      </c>
      <c r="N388">
        <v>20152.8</v>
      </c>
    </row>
    <row r="389" spans="1:14" x14ac:dyDescent="0.25">
      <c r="A389">
        <v>10388</v>
      </c>
      <c r="B389" s="4">
        <v>45314</v>
      </c>
      <c r="C389" t="s">
        <v>33</v>
      </c>
      <c r="D389" t="s">
        <v>29</v>
      </c>
      <c r="E389" t="s">
        <v>32</v>
      </c>
      <c r="F389" t="s">
        <v>28</v>
      </c>
      <c r="G389">
        <v>18</v>
      </c>
      <c r="H389" t="str">
        <f t="shared" si="6"/>
        <v>18-24</v>
      </c>
      <c r="I389">
        <v>9</v>
      </c>
      <c r="J389">
        <v>25200</v>
      </c>
      <c r="K389">
        <v>20</v>
      </c>
      <c r="L389">
        <v>226800</v>
      </c>
      <c r="M389">
        <v>45360</v>
      </c>
      <c r="N389">
        <v>181440</v>
      </c>
    </row>
    <row r="390" spans="1:14" x14ac:dyDescent="0.25">
      <c r="A390">
        <v>10389</v>
      </c>
      <c r="B390" s="4">
        <v>45315</v>
      </c>
      <c r="C390" t="s">
        <v>17</v>
      </c>
      <c r="D390" t="s">
        <v>22</v>
      </c>
      <c r="E390" t="s">
        <v>19</v>
      </c>
      <c r="F390" t="s">
        <v>30</v>
      </c>
      <c r="G390">
        <v>35</v>
      </c>
      <c r="H390" t="str">
        <f t="shared" si="6"/>
        <v>35-44</v>
      </c>
      <c r="I390">
        <v>1</v>
      </c>
      <c r="J390">
        <v>14375</v>
      </c>
      <c r="K390">
        <v>15</v>
      </c>
      <c r="L390">
        <v>14375</v>
      </c>
      <c r="M390">
        <v>2156.25</v>
      </c>
      <c r="N390">
        <v>12218.75</v>
      </c>
    </row>
    <row r="391" spans="1:14" x14ac:dyDescent="0.25">
      <c r="A391">
        <v>10390</v>
      </c>
      <c r="B391" s="4">
        <v>45316</v>
      </c>
      <c r="C391" t="s">
        <v>13</v>
      </c>
      <c r="D391" t="s">
        <v>27</v>
      </c>
      <c r="E391" t="s">
        <v>32</v>
      </c>
      <c r="F391" t="s">
        <v>20</v>
      </c>
      <c r="G391">
        <v>55</v>
      </c>
      <c r="H391" t="str">
        <f t="shared" si="6"/>
        <v>55+</v>
      </c>
      <c r="I391">
        <v>2</v>
      </c>
      <c r="J391">
        <v>7791</v>
      </c>
      <c r="K391">
        <v>5</v>
      </c>
      <c r="L391">
        <v>15582</v>
      </c>
      <c r="M391">
        <v>779.1</v>
      </c>
      <c r="N391">
        <v>14802.9</v>
      </c>
    </row>
    <row r="392" spans="1:14" x14ac:dyDescent="0.25">
      <c r="A392">
        <v>10391</v>
      </c>
      <c r="B392" s="4">
        <v>45317</v>
      </c>
      <c r="C392" t="s">
        <v>33</v>
      </c>
      <c r="D392" t="s">
        <v>29</v>
      </c>
      <c r="E392" t="s">
        <v>15</v>
      </c>
      <c r="F392" t="s">
        <v>28</v>
      </c>
      <c r="G392">
        <v>30</v>
      </c>
      <c r="H392" t="str">
        <f t="shared" si="6"/>
        <v>25-34</v>
      </c>
      <c r="I392">
        <v>3</v>
      </c>
      <c r="J392">
        <v>3953</v>
      </c>
      <c r="K392">
        <v>15</v>
      </c>
      <c r="L392">
        <v>11859</v>
      </c>
      <c r="M392">
        <v>1778.85</v>
      </c>
      <c r="N392">
        <v>10080.15</v>
      </c>
    </row>
    <row r="393" spans="1:14" x14ac:dyDescent="0.25">
      <c r="A393">
        <v>10392</v>
      </c>
      <c r="B393" s="4">
        <v>45318</v>
      </c>
      <c r="C393" t="s">
        <v>21</v>
      </c>
      <c r="D393" t="s">
        <v>27</v>
      </c>
      <c r="E393" t="s">
        <v>25</v>
      </c>
      <c r="F393" t="s">
        <v>30</v>
      </c>
      <c r="G393">
        <v>24</v>
      </c>
      <c r="H393" t="str">
        <f t="shared" si="6"/>
        <v>18-24</v>
      </c>
      <c r="I393">
        <v>6</v>
      </c>
      <c r="J393">
        <v>8960</v>
      </c>
      <c r="K393">
        <v>15</v>
      </c>
      <c r="L393">
        <v>53760</v>
      </c>
      <c r="M393">
        <v>8064</v>
      </c>
      <c r="N393">
        <v>45696</v>
      </c>
    </row>
    <row r="394" spans="1:14" x14ac:dyDescent="0.25">
      <c r="A394">
        <v>10393</v>
      </c>
      <c r="B394" s="4">
        <v>45319</v>
      </c>
      <c r="C394" t="s">
        <v>17</v>
      </c>
      <c r="D394" t="s">
        <v>18</v>
      </c>
      <c r="E394" t="s">
        <v>19</v>
      </c>
      <c r="F394" t="s">
        <v>31</v>
      </c>
      <c r="G394">
        <v>38</v>
      </c>
      <c r="H394" t="str">
        <f t="shared" si="6"/>
        <v>35-44</v>
      </c>
      <c r="I394">
        <v>2</v>
      </c>
      <c r="J394">
        <v>39655</v>
      </c>
      <c r="K394">
        <v>15</v>
      </c>
      <c r="L394">
        <v>79310</v>
      </c>
      <c r="M394">
        <v>11896.5</v>
      </c>
      <c r="N394">
        <v>67413.5</v>
      </c>
    </row>
    <row r="395" spans="1:14" x14ac:dyDescent="0.25">
      <c r="A395">
        <v>10394</v>
      </c>
      <c r="B395" s="4">
        <v>45320</v>
      </c>
      <c r="C395" t="s">
        <v>21</v>
      </c>
      <c r="D395" t="s">
        <v>18</v>
      </c>
      <c r="E395" t="s">
        <v>32</v>
      </c>
      <c r="F395" t="s">
        <v>30</v>
      </c>
      <c r="G395">
        <v>33</v>
      </c>
      <c r="H395" t="str">
        <f t="shared" si="6"/>
        <v>25-34</v>
      </c>
      <c r="I395">
        <v>8</v>
      </c>
      <c r="J395">
        <v>6865</v>
      </c>
      <c r="K395">
        <v>20</v>
      </c>
      <c r="L395">
        <v>54920</v>
      </c>
      <c r="M395">
        <v>10984</v>
      </c>
      <c r="N395">
        <v>43936</v>
      </c>
    </row>
    <row r="396" spans="1:14" x14ac:dyDescent="0.25">
      <c r="A396">
        <v>10395</v>
      </c>
      <c r="B396" s="4">
        <v>45321</v>
      </c>
      <c r="C396" t="s">
        <v>21</v>
      </c>
      <c r="D396" t="s">
        <v>29</v>
      </c>
      <c r="E396" t="s">
        <v>25</v>
      </c>
      <c r="F396" t="s">
        <v>26</v>
      </c>
      <c r="G396">
        <v>63</v>
      </c>
      <c r="H396" t="str">
        <f t="shared" si="6"/>
        <v>55+</v>
      </c>
      <c r="I396">
        <v>7</v>
      </c>
      <c r="J396">
        <v>41285</v>
      </c>
      <c r="K396">
        <v>15</v>
      </c>
      <c r="L396">
        <v>288995</v>
      </c>
      <c r="M396">
        <v>43349.25</v>
      </c>
      <c r="N396">
        <v>245645.75</v>
      </c>
    </row>
    <row r="397" spans="1:14" x14ac:dyDescent="0.25">
      <c r="A397">
        <v>10396</v>
      </c>
      <c r="B397" s="4">
        <v>45322</v>
      </c>
      <c r="C397" t="s">
        <v>21</v>
      </c>
      <c r="D397" t="s">
        <v>27</v>
      </c>
      <c r="E397" t="s">
        <v>15</v>
      </c>
      <c r="F397" t="s">
        <v>31</v>
      </c>
      <c r="G397">
        <v>47</v>
      </c>
      <c r="H397" t="str">
        <f t="shared" si="6"/>
        <v>45-54</v>
      </c>
      <c r="I397">
        <v>5</v>
      </c>
      <c r="J397">
        <v>19912</v>
      </c>
      <c r="K397">
        <v>15</v>
      </c>
      <c r="L397">
        <v>99560</v>
      </c>
      <c r="M397">
        <v>14934</v>
      </c>
      <c r="N397">
        <v>84626</v>
      </c>
    </row>
    <row r="398" spans="1:14" x14ac:dyDescent="0.25">
      <c r="A398">
        <v>10397</v>
      </c>
      <c r="B398" s="4">
        <v>45323</v>
      </c>
      <c r="C398" t="s">
        <v>33</v>
      </c>
      <c r="D398" t="s">
        <v>22</v>
      </c>
      <c r="E398" t="s">
        <v>19</v>
      </c>
      <c r="F398" t="s">
        <v>31</v>
      </c>
      <c r="G398">
        <v>24</v>
      </c>
      <c r="H398" t="str">
        <f t="shared" si="6"/>
        <v>18-24</v>
      </c>
      <c r="I398">
        <v>1</v>
      </c>
      <c r="J398">
        <v>1096</v>
      </c>
      <c r="K398">
        <v>0</v>
      </c>
      <c r="L398">
        <v>1096</v>
      </c>
      <c r="M398">
        <v>0</v>
      </c>
      <c r="N398">
        <v>1096</v>
      </c>
    </row>
    <row r="399" spans="1:14" x14ac:dyDescent="0.25">
      <c r="A399">
        <v>10398</v>
      </c>
      <c r="B399" s="4">
        <v>45324</v>
      </c>
      <c r="C399" t="s">
        <v>33</v>
      </c>
      <c r="D399" t="s">
        <v>29</v>
      </c>
      <c r="E399" t="s">
        <v>15</v>
      </c>
      <c r="F399" t="s">
        <v>28</v>
      </c>
      <c r="G399">
        <v>32</v>
      </c>
      <c r="H399" t="str">
        <f t="shared" si="6"/>
        <v>25-34</v>
      </c>
      <c r="I399">
        <v>6</v>
      </c>
      <c r="J399">
        <v>34730</v>
      </c>
      <c r="K399">
        <v>20</v>
      </c>
      <c r="L399">
        <v>208380</v>
      </c>
      <c r="M399">
        <v>41676</v>
      </c>
      <c r="N399">
        <v>166704</v>
      </c>
    </row>
    <row r="400" spans="1:14" x14ac:dyDescent="0.25">
      <c r="A400">
        <v>10399</v>
      </c>
      <c r="B400" s="4">
        <v>45325</v>
      </c>
      <c r="C400" t="s">
        <v>17</v>
      </c>
      <c r="D400" t="s">
        <v>14</v>
      </c>
      <c r="E400" t="s">
        <v>19</v>
      </c>
      <c r="F400" t="s">
        <v>16</v>
      </c>
      <c r="G400">
        <v>60</v>
      </c>
      <c r="H400" t="str">
        <f t="shared" si="6"/>
        <v>55+</v>
      </c>
      <c r="I400">
        <v>6</v>
      </c>
      <c r="J400">
        <v>43392</v>
      </c>
      <c r="K400">
        <v>0</v>
      </c>
      <c r="L400">
        <v>260352</v>
      </c>
      <c r="M400">
        <v>0</v>
      </c>
      <c r="N400">
        <v>260352</v>
      </c>
    </row>
    <row r="401" spans="1:14" x14ac:dyDescent="0.25">
      <c r="A401">
        <v>10400</v>
      </c>
      <c r="B401" s="4">
        <v>45326</v>
      </c>
      <c r="C401" t="s">
        <v>17</v>
      </c>
      <c r="D401" t="s">
        <v>18</v>
      </c>
      <c r="E401" t="s">
        <v>32</v>
      </c>
      <c r="F401" t="s">
        <v>20</v>
      </c>
      <c r="G401">
        <v>31</v>
      </c>
      <c r="H401" t="str">
        <f t="shared" si="6"/>
        <v>25-34</v>
      </c>
      <c r="I401">
        <v>5</v>
      </c>
      <c r="J401">
        <v>3374</v>
      </c>
      <c r="K401">
        <v>5</v>
      </c>
      <c r="L401">
        <v>16870</v>
      </c>
      <c r="M401">
        <v>843.5</v>
      </c>
      <c r="N401">
        <v>16026.5</v>
      </c>
    </row>
    <row r="402" spans="1:14" x14ac:dyDescent="0.25">
      <c r="A402">
        <v>10401</v>
      </c>
      <c r="B402" s="4">
        <v>45327</v>
      </c>
      <c r="C402" t="s">
        <v>21</v>
      </c>
      <c r="D402" t="s">
        <v>29</v>
      </c>
      <c r="E402" t="s">
        <v>25</v>
      </c>
      <c r="F402" t="s">
        <v>24</v>
      </c>
      <c r="G402">
        <v>30</v>
      </c>
      <c r="H402" t="str">
        <f t="shared" si="6"/>
        <v>25-34</v>
      </c>
      <c r="I402">
        <v>6</v>
      </c>
      <c r="J402">
        <v>46298</v>
      </c>
      <c r="K402">
        <v>20</v>
      </c>
      <c r="L402">
        <v>277788</v>
      </c>
      <c r="M402">
        <v>55557.599999999999</v>
      </c>
      <c r="N402">
        <v>222230.39999999999</v>
      </c>
    </row>
    <row r="403" spans="1:14" x14ac:dyDescent="0.25">
      <c r="A403">
        <v>10402</v>
      </c>
      <c r="B403" s="4">
        <v>45328</v>
      </c>
      <c r="C403" t="s">
        <v>33</v>
      </c>
      <c r="D403" t="s">
        <v>14</v>
      </c>
      <c r="E403" t="s">
        <v>25</v>
      </c>
      <c r="F403" t="s">
        <v>30</v>
      </c>
      <c r="G403">
        <v>35</v>
      </c>
      <c r="H403" t="str">
        <f t="shared" si="6"/>
        <v>35-44</v>
      </c>
      <c r="I403">
        <v>3</v>
      </c>
      <c r="J403">
        <v>9331</v>
      </c>
      <c r="K403">
        <v>20</v>
      </c>
      <c r="L403">
        <v>27993</v>
      </c>
      <c r="M403">
        <v>5598.6</v>
      </c>
      <c r="N403">
        <v>22394.400000000001</v>
      </c>
    </row>
    <row r="404" spans="1:14" x14ac:dyDescent="0.25">
      <c r="A404">
        <v>10403</v>
      </c>
      <c r="B404" s="4">
        <v>45329</v>
      </c>
      <c r="C404" t="s">
        <v>13</v>
      </c>
      <c r="D404" t="s">
        <v>27</v>
      </c>
      <c r="E404" t="s">
        <v>32</v>
      </c>
      <c r="F404" t="s">
        <v>31</v>
      </c>
      <c r="G404">
        <v>60</v>
      </c>
      <c r="H404" t="str">
        <f t="shared" si="6"/>
        <v>55+</v>
      </c>
      <c r="I404">
        <v>4</v>
      </c>
      <c r="J404">
        <v>24973</v>
      </c>
      <c r="K404">
        <v>20</v>
      </c>
      <c r="L404">
        <v>99892</v>
      </c>
      <c r="M404">
        <v>19978.400000000001</v>
      </c>
      <c r="N404">
        <v>79913.600000000006</v>
      </c>
    </row>
    <row r="405" spans="1:14" x14ac:dyDescent="0.25">
      <c r="A405">
        <v>10404</v>
      </c>
      <c r="B405" s="4">
        <v>45330</v>
      </c>
      <c r="C405" t="s">
        <v>17</v>
      </c>
      <c r="D405" t="s">
        <v>27</v>
      </c>
      <c r="E405" t="s">
        <v>32</v>
      </c>
      <c r="F405" t="s">
        <v>28</v>
      </c>
      <c r="G405">
        <v>58</v>
      </c>
      <c r="H405" t="str">
        <f t="shared" si="6"/>
        <v>55+</v>
      </c>
      <c r="I405">
        <v>2</v>
      </c>
      <c r="J405">
        <v>25329</v>
      </c>
      <c r="K405">
        <v>5</v>
      </c>
      <c r="L405">
        <v>50658</v>
      </c>
      <c r="M405">
        <v>2532.9</v>
      </c>
      <c r="N405">
        <v>48125.1</v>
      </c>
    </row>
    <row r="406" spans="1:14" x14ac:dyDescent="0.25">
      <c r="A406">
        <v>10405</v>
      </c>
      <c r="B406" s="4">
        <v>45331</v>
      </c>
      <c r="C406" t="s">
        <v>13</v>
      </c>
      <c r="D406" t="s">
        <v>22</v>
      </c>
      <c r="E406" t="s">
        <v>15</v>
      </c>
      <c r="F406" t="s">
        <v>20</v>
      </c>
      <c r="G406">
        <v>61</v>
      </c>
      <c r="H406" t="str">
        <f t="shared" si="6"/>
        <v>55+</v>
      </c>
      <c r="I406">
        <v>7</v>
      </c>
      <c r="J406">
        <v>30921</v>
      </c>
      <c r="K406">
        <v>10</v>
      </c>
      <c r="L406">
        <v>216447</v>
      </c>
      <c r="M406">
        <v>21644.7</v>
      </c>
      <c r="N406">
        <v>194802.3</v>
      </c>
    </row>
    <row r="407" spans="1:14" x14ac:dyDescent="0.25">
      <c r="A407">
        <v>10406</v>
      </c>
      <c r="B407" s="4">
        <v>45332</v>
      </c>
      <c r="C407" t="s">
        <v>13</v>
      </c>
      <c r="D407" t="s">
        <v>22</v>
      </c>
      <c r="E407" t="s">
        <v>19</v>
      </c>
      <c r="F407" t="s">
        <v>24</v>
      </c>
      <c r="G407">
        <v>29</v>
      </c>
      <c r="H407" t="str">
        <f t="shared" si="6"/>
        <v>25-34</v>
      </c>
      <c r="I407">
        <v>1</v>
      </c>
      <c r="J407">
        <v>41701</v>
      </c>
      <c r="K407">
        <v>20</v>
      </c>
      <c r="L407">
        <v>41701</v>
      </c>
      <c r="M407">
        <v>8340.2000000000007</v>
      </c>
      <c r="N407">
        <v>33360.800000000003</v>
      </c>
    </row>
    <row r="408" spans="1:14" x14ac:dyDescent="0.25">
      <c r="A408">
        <v>10407</v>
      </c>
      <c r="B408" s="4">
        <v>45333</v>
      </c>
      <c r="C408" t="s">
        <v>21</v>
      </c>
      <c r="D408" t="s">
        <v>18</v>
      </c>
      <c r="E408" t="s">
        <v>32</v>
      </c>
      <c r="F408" t="s">
        <v>20</v>
      </c>
      <c r="G408">
        <v>43</v>
      </c>
      <c r="H408" t="str">
        <f t="shared" si="6"/>
        <v>35-44</v>
      </c>
      <c r="I408">
        <v>2</v>
      </c>
      <c r="J408">
        <v>10903</v>
      </c>
      <c r="K408">
        <v>0</v>
      </c>
      <c r="L408">
        <v>21806</v>
      </c>
      <c r="M408">
        <v>0</v>
      </c>
      <c r="N408">
        <v>21806</v>
      </c>
    </row>
    <row r="409" spans="1:14" x14ac:dyDescent="0.25">
      <c r="A409">
        <v>10408</v>
      </c>
      <c r="B409" s="4">
        <v>45334</v>
      </c>
      <c r="C409" t="s">
        <v>13</v>
      </c>
      <c r="D409" t="s">
        <v>29</v>
      </c>
      <c r="E409" t="s">
        <v>25</v>
      </c>
      <c r="F409" t="s">
        <v>20</v>
      </c>
      <c r="G409">
        <v>43</v>
      </c>
      <c r="H409" t="str">
        <f t="shared" si="6"/>
        <v>35-44</v>
      </c>
      <c r="I409">
        <v>4</v>
      </c>
      <c r="J409">
        <v>46384</v>
      </c>
      <c r="K409">
        <v>15</v>
      </c>
      <c r="L409">
        <v>185536</v>
      </c>
      <c r="M409">
        <v>27830.400000000001</v>
      </c>
      <c r="N409">
        <v>157705.60000000001</v>
      </c>
    </row>
    <row r="410" spans="1:14" x14ac:dyDescent="0.25">
      <c r="A410">
        <v>10409</v>
      </c>
      <c r="B410" s="4">
        <v>45335</v>
      </c>
      <c r="C410" t="s">
        <v>33</v>
      </c>
      <c r="D410" t="s">
        <v>27</v>
      </c>
      <c r="E410" t="s">
        <v>32</v>
      </c>
      <c r="F410" t="s">
        <v>23</v>
      </c>
      <c r="G410">
        <v>60</v>
      </c>
      <c r="H410" t="str">
        <f t="shared" si="6"/>
        <v>55+</v>
      </c>
      <c r="I410">
        <v>6</v>
      </c>
      <c r="J410">
        <v>14435</v>
      </c>
      <c r="K410">
        <v>15</v>
      </c>
      <c r="L410">
        <v>86610</v>
      </c>
      <c r="M410">
        <v>12991.5</v>
      </c>
      <c r="N410">
        <v>73618.5</v>
      </c>
    </row>
    <row r="411" spans="1:14" x14ac:dyDescent="0.25">
      <c r="A411">
        <v>10410</v>
      </c>
      <c r="B411" s="4">
        <v>45336</v>
      </c>
      <c r="C411" t="s">
        <v>13</v>
      </c>
      <c r="D411" t="s">
        <v>22</v>
      </c>
      <c r="E411" t="s">
        <v>32</v>
      </c>
      <c r="F411" t="s">
        <v>26</v>
      </c>
      <c r="G411">
        <v>26</v>
      </c>
      <c r="H411" t="str">
        <f t="shared" si="6"/>
        <v>25-34</v>
      </c>
      <c r="I411">
        <v>8</v>
      </c>
      <c r="J411">
        <v>10807</v>
      </c>
      <c r="K411">
        <v>15</v>
      </c>
      <c r="L411">
        <v>86456</v>
      </c>
      <c r="M411">
        <v>12968.4</v>
      </c>
      <c r="N411">
        <v>73487.600000000006</v>
      </c>
    </row>
    <row r="412" spans="1:14" x14ac:dyDescent="0.25">
      <c r="A412">
        <v>10411</v>
      </c>
      <c r="B412" s="4">
        <v>45337</v>
      </c>
      <c r="C412" t="s">
        <v>33</v>
      </c>
      <c r="D412" t="s">
        <v>22</v>
      </c>
      <c r="E412" t="s">
        <v>25</v>
      </c>
      <c r="F412" t="s">
        <v>16</v>
      </c>
      <c r="G412">
        <v>60</v>
      </c>
      <c r="H412" t="str">
        <f t="shared" si="6"/>
        <v>55+</v>
      </c>
      <c r="I412">
        <v>6</v>
      </c>
      <c r="J412">
        <v>41515</v>
      </c>
      <c r="K412">
        <v>10</v>
      </c>
      <c r="L412">
        <v>249090</v>
      </c>
      <c r="M412">
        <v>24909</v>
      </c>
      <c r="N412">
        <v>224181</v>
      </c>
    </row>
    <row r="413" spans="1:14" x14ac:dyDescent="0.25">
      <c r="A413">
        <v>10412</v>
      </c>
      <c r="B413" s="4">
        <v>45338</v>
      </c>
      <c r="C413" t="s">
        <v>33</v>
      </c>
      <c r="D413" t="s">
        <v>14</v>
      </c>
      <c r="E413" t="s">
        <v>32</v>
      </c>
      <c r="F413" t="s">
        <v>30</v>
      </c>
      <c r="G413">
        <v>62</v>
      </c>
      <c r="H413" t="str">
        <f t="shared" si="6"/>
        <v>55+</v>
      </c>
      <c r="I413">
        <v>3</v>
      </c>
      <c r="J413">
        <v>16283</v>
      </c>
      <c r="K413">
        <v>0</v>
      </c>
      <c r="L413">
        <v>48849</v>
      </c>
      <c r="M413">
        <v>0</v>
      </c>
      <c r="N413">
        <v>48849</v>
      </c>
    </row>
    <row r="414" spans="1:14" x14ac:dyDescent="0.25">
      <c r="A414">
        <v>10413</v>
      </c>
      <c r="B414" s="4">
        <v>45339</v>
      </c>
      <c r="C414" t="s">
        <v>13</v>
      </c>
      <c r="D414" t="s">
        <v>29</v>
      </c>
      <c r="E414" t="s">
        <v>19</v>
      </c>
      <c r="F414" t="s">
        <v>30</v>
      </c>
      <c r="G414">
        <v>62</v>
      </c>
      <c r="H414" t="str">
        <f t="shared" si="6"/>
        <v>55+</v>
      </c>
      <c r="I414">
        <v>4</v>
      </c>
      <c r="J414">
        <v>11227</v>
      </c>
      <c r="K414">
        <v>15</v>
      </c>
      <c r="L414">
        <v>44908</v>
      </c>
      <c r="M414">
        <v>6736.2</v>
      </c>
      <c r="N414">
        <v>38171.800000000003</v>
      </c>
    </row>
    <row r="415" spans="1:14" x14ac:dyDescent="0.25">
      <c r="A415">
        <v>10414</v>
      </c>
      <c r="B415" s="4">
        <v>45340</v>
      </c>
      <c r="C415" t="s">
        <v>21</v>
      </c>
      <c r="D415" t="s">
        <v>22</v>
      </c>
      <c r="E415" t="s">
        <v>15</v>
      </c>
      <c r="F415" t="s">
        <v>20</v>
      </c>
      <c r="G415">
        <v>50</v>
      </c>
      <c r="H415" t="str">
        <f t="shared" si="6"/>
        <v>45-54</v>
      </c>
      <c r="I415">
        <v>7</v>
      </c>
      <c r="J415">
        <v>44269</v>
      </c>
      <c r="K415">
        <v>10</v>
      </c>
      <c r="L415">
        <v>309883</v>
      </c>
      <c r="M415">
        <v>30988.3</v>
      </c>
      <c r="N415">
        <v>278894.7</v>
      </c>
    </row>
    <row r="416" spans="1:14" x14ac:dyDescent="0.25">
      <c r="A416">
        <v>10415</v>
      </c>
      <c r="B416" s="4">
        <v>45341</v>
      </c>
      <c r="C416" t="s">
        <v>13</v>
      </c>
      <c r="D416" t="s">
        <v>29</v>
      </c>
      <c r="E416" t="s">
        <v>32</v>
      </c>
      <c r="F416" t="s">
        <v>30</v>
      </c>
      <c r="G416">
        <v>46</v>
      </c>
      <c r="H416" t="str">
        <f t="shared" si="6"/>
        <v>45-54</v>
      </c>
      <c r="I416">
        <v>2</v>
      </c>
      <c r="J416">
        <v>12852</v>
      </c>
      <c r="K416">
        <v>20</v>
      </c>
      <c r="L416">
        <v>25704</v>
      </c>
      <c r="M416">
        <v>5140.8</v>
      </c>
      <c r="N416">
        <v>20563.2</v>
      </c>
    </row>
    <row r="417" spans="1:14" x14ac:dyDescent="0.25">
      <c r="A417">
        <v>10416</v>
      </c>
      <c r="B417" s="4">
        <v>45342</v>
      </c>
      <c r="C417" t="s">
        <v>33</v>
      </c>
      <c r="D417" t="s">
        <v>29</v>
      </c>
      <c r="E417" t="s">
        <v>32</v>
      </c>
      <c r="F417" t="s">
        <v>26</v>
      </c>
      <c r="G417">
        <v>23</v>
      </c>
      <c r="H417" t="str">
        <f t="shared" si="6"/>
        <v>18-24</v>
      </c>
      <c r="I417">
        <v>7</v>
      </c>
      <c r="J417">
        <v>26495</v>
      </c>
      <c r="K417">
        <v>0</v>
      </c>
      <c r="L417">
        <v>185465</v>
      </c>
      <c r="M417">
        <v>0</v>
      </c>
      <c r="N417">
        <v>185465</v>
      </c>
    </row>
    <row r="418" spans="1:14" x14ac:dyDescent="0.25">
      <c r="A418">
        <v>10417</v>
      </c>
      <c r="B418" s="4">
        <v>45343</v>
      </c>
      <c r="C418" t="s">
        <v>17</v>
      </c>
      <c r="D418" t="s">
        <v>22</v>
      </c>
      <c r="E418" t="s">
        <v>19</v>
      </c>
      <c r="F418" t="s">
        <v>30</v>
      </c>
      <c r="G418">
        <v>38</v>
      </c>
      <c r="H418" t="str">
        <f t="shared" si="6"/>
        <v>35-44</v>
      </c>
      <c r="I418">
        <v>8</v>
      </c>
      <c r="J418">
        <v>41065</v>
      </c>
      <c r="K418">
        <v>5</v>
      </c>
      <c r="L418">
        <v>328520</v>
      </c>
      <c r="M418">
        <v>16426</v>
      </c>
      <c r="N418">
        <v>312094</v>
      </c>
    </row>
    <row r="419" spans="1:14" x14ac:dyDescent="0.25">
      <c r="A419">
        <v>10418</v>
      </c>
      <c r="B419" s="4">
        <v>45344</v>
      </c>
      <c r="C419" t="s">
        <v>33</v>
      </c>
      <c r="D419" t="s">
        <v>29</v>
      </c>
      <c r="E419" t="s">
        <v>19</v>
      </c>
      <c r="F419" t="s">
        <v>16</v>
      </c>
      <c r="G419">
        <v>25</v>
      </c>
      <c r="H419" t="str">
        <f t="shared" si="6"/>
        <v>25-34</v>
      </c>
      <c r="I419">
        <v>6</v>
      </c>
      <c r="J419">
        <v>45842</v>
      </c>
      <c r="K419">
        <v>0</v>
      </c>
      <c r="L419">
        <v>275052</v>
      </c>
      <c r="M419">
        <v>0</v>
      </c>
      <c r="N419">
        <v>275052</v>
      </c>
    </row>
    <row r="420" spans="1:14" x14ac:dyDescent="0.25">
      <c r="A420">
        <v>10419</v>
      </c>
      <c r="B420" s="4">
        <v>45345</v>
      </c>
      <c r="C420" t="s">
        <v>21</v>
      </c>
      <c r="D420" t="s">
        <v>29</v>
      </c>
      <c r="E420" t="s">
        <v>32</v>
      </c>
      <c r="F420" t="s">
        <v>30</v>
      </c>
      <c r="G420">
        <v>54</v>
      </c>
      <c r="H420" t="str">
        <f t="shared" si="6"/>
        <v>45-54</v>
      </c>
      <c r="I420">
        <v>4</v>
      </c>
      <c r="J420">
        <v>5571</v>
      </c>
      <c r="K420">
        <v>10</v>
      </c>
      <c r="L420">
        <v>22284</v>
      </c>
      <c r="M420">
        <v>2228.4</v>
      </c>
      <c r="N420">
        <v>20055.599999999999</v>
      </c>
    </row>
    <row r="421" spans="1:14" x14ac:dyDescent="0.25">
      <c r="A421">
        <v>10420</v>
      </c>
      <c r="B421" s="4">
        <v>45346</v>
      </c>
      <c r="C421" t="s">
        <v>21</v>
      </c>
      <c r="D421" t="s">
        <v>14</v>
      </c>
      <c r="E421" t="s">
        <v>32</v>
      </c>
      <c r="F421" t="s">
        <v>16</v>
      </c>
      <c r="G421">
        <v>51</v>
      </c>
      <c r="H421" t="str">
        <f t="shared" si="6"/>
        <v>45-54</v>
      </c>
      <c r="I421">
        <v>4</v>
      </c>
      <c r="J421">
        <v>9897</v>
      </c>
      <c r="K421">
        <v>15</v>
      </c>
      <c r="L421">
        <v>39588</v>
      </c>
      <c r="M421">
        <v>5938.2</v>
      </c>
      <c r="N421">
        <v>33649.800000000003</v>
      </c>
    </row>
    <row r="422" spans="1:14" x14ac:dyDescent="0.25">
      <c r="A422">
        <v>10421</v>
      </c>
      <c r="B422" s="4">
        <v>45347</v>
      </c>
      <c r="C422" t="s">
        <v>21</v>
      </c>
      <c r="D422" t="s">
        <v>27</v>
      </c>
      <c r="E422" t="s">
        <v>32</v>
      </c>
      <c r="F422" t="s">
        <v>23</v>
      </c>
      <c r="G422">
        <v>57</v>
      </c>
      <c r="H422" t="str">
        <f t="shared" si="6"/>
        <v>55+</v>
      </c>
      <c r="I422">
        <v>7</v>
      </c>
      <c r="J422">
        <v>37654</v>
      </c>
      <c r="K422">
        <v>5</v>
      </c>
      <c r="L422">
        <v>263578</v>
      </c>
      <c r="M422">
        <v>13178.9</v>
      </c>
      <c r="N422">
        <v>250399.1</v>
      </c>
    </row>
    <row r="423" spans="1:14" x14ac:dyDescent="0.25">
      <c r="A423">
        <v>10422</v>
      </c>
      <c r="B423" s="4">
        <v>45348</v>
      </c>
      <c r="C423" t="s">
        <v>17</v>
      </c>
      <c r="D423" t="s">
        <v>18</v>
      </c>
      <c r="E423" t="s">
        <v>15</v>
      </c>
      <c r="F423" t="s">
        <v>16</v>
      </c>
      <c r="G423">
        <v>37</v>
      </c>
      <c r="H423" t="str">
        <f t="shared" si="6"/>
        <v>35-44</v>
      </c>
      <c r="I423">
        <v>1</v>
      </c>
      <c r="J423">
        <v>39972</v>
      </c>
      <c r="K423">
        <v>15</v>
      </c>
      <c r="L423">
        <v>39972</v>
      </c>
      <c r="M423">
        <v>5995.8</v>
      </c>
      <c r="N423">
        <v>33976.199999999997</v>
      </c>
    </row>
    <row r="424" spans="1:14" x14ac:dyDescent="0.25">
      <c r="A424">
        <v>10423</v>
      </c>
      <c r="B424" s="4">
        <v>45349</v>
      </c>
      <c r="C424" t="s">
        <v>33</v>
      </c>
      <c r="D424" t="s">
        <v>22</v>
      </c>
      <c r="E424" t="s">
        <v>15</v>
      </c>
      <c r="F424" t="s">
        <v>24</v>
      </c>
      <c r="G424">
        <v>39</v>
      </c>
      <c r="H424" t="str">
        <f t="shared" si="6"/>
        <v>35-44</v>
      </c>
      <c r="I424">
        <v>3</v>
      </c>
      <c r="J424">
        <v>48800</v>
      </c>
      <c r="K424">
        <v>0</v>
      </c>
      <c r="L424">
        <v>146400</v>
      </c>
      <c r="M424">
        <v>0</v>
      </c>
      <c r="N424">
        <v>146400</v>
      </c>
    </row>
    <row r="425" spans="1:14" x14ac:dyDescent="0.25">
      <c r="A425">
        <v>10424</v>
      </c>
      <c r="B425" s="4">
        <v>45350</v>
      </c>
      <c r="C425" t="s">
        <v>21</v>
      </c>
      <c r="D425" t="s">
        <v>14</v>
      </c>
      <c r="E425" t="s">
        <v>15</v>
      </c>
      <c r="F425" t="s">
        <v>24</v>
      </c>
      <c r="G425">
        <v>27</v>
      </c>
      <c r="H425" t="str">
        <f t="shared" si="6"/>
        <v>25-34</v>
      </c>
      <c r="I425">
        <v>5</v>
      </c>
      <c r="J425">
        <v>41476</v>
      </c>
      <c r="K425">
        <v>20</v>
      </c>
      <c r="L425">
        <v>207380</v>
      </c>
      <c r="M425">
        <v>41476</v>
      </c>
      <c r="N425">
        <v>165904</v>
      </c>
    </row>
    <row r="426" spans="1:14" x14ac:dyDescent="0.25">
      <c r="A426">
        <v>10425</v>
      </c>
      <c r="B426" s="4">
        <v>45351</v>
      </c>
      <c r="C426" t="s">
        <v>17</v>
      </c>
      <c r="D426" t="s">
        <v>22</v>
      </c>
      <c r="E426" t="s">
        <v>32</v>
      </c>
      <c r="F426" t="s">
        <v>31</v>
      </c>
      <c r="G426">
        <v>31</v>
      </c>
      <c r="H426" t="str">
        <f t="shared" si="6"/>
        <v>25-34</v>
      </c>
      <c r="I426">
        <v>1</v>
      </c>
      <c r="J426">
        <v>10447</v>
      </c>
      <c r="K426">
        <v>20</v>
      </c>
      <c r="L426">
        <v>10447</v>
      </c>
      <c r="M426">
        <v>2089.4</v>
      </c>
      <c r="N426">
        <v>8357.6</v>
      </c>
    </row>
    <row r="427" spans="1:14" x14ac:dyDescent="0.25">
      <c r="A427">
        <v>10426</v>
      </c>
      <c r="B427" s="4">
        <v>45352</v>
      </c>
      <c r="C427" t="s">
        <v>17</v>
      </c>
      <c r="D427" t="s">
        <v>27</v>
      </c>
      <c r="E427" t="s">
        <v>19</v>
      </c>
      <c r="F427" t="s">
        <v>20</v>
      </c>
      <c r="G427">
        <v>29</v>
      </c>
      <c r="H427" t="str">
        <f t="shared" si="6"/>
        <v>25-34</v>
      </c>
      <c r="I427">
        <v>6</v>
      </c>
      <c r="J427">
        <v>42768</v>
      </c>
      <c r="K427">
        <v>15</v>
      </c>
      <c r="L427">
        <v>256608</v>
      </c>
      <c r="M427">
        <v>38491.199999999997</v>
      </c>
      <c r="N427">
        <v>218116.8</v>
      </c>
    </row>
    <row r="428" spans="1:14" x14ac:dyDescent="0.25">
      <c r="A428">
        <v>10427</v>
      </c>
      <c r="B428" s="4">
        <v>45353</v>
      </c>
      <c r="C428" t="s">
        <v>17</v>
      </c>
      <c r="D428" t="s">
        <v>14</v>
      </c>
      <c r="E428" t="s">
        <v>15</v>
      </c>
      <c r="F428" t="s">
        <v>16</v>
      </c>
      <c r="G428">
        <v>55</v>
      </c>
      <c r="H428" t="str">
        <f t="shared" si="6"/>
        <v>55+</v>
      </c>
      <c r="I428">
        <v>6</v>
      </c>
      <c r="J428">
        <v>29712</v>
      </c>
      <c r="K428">
        <v>5</v>
      </c>
      <c r="L428">
        <v>178272</v>
      </c>
      <c r="M428">
        <v>8913.6</v>
      </c>
      <c r="N428">
        <v>169358.4</v>
      </c>
    </row>
    <row r="429" spans="1:14" x14ac:dyDescent="0.25">
      <c r="A429">
        <v>10428</v>
      </c>
      <c r="B429" s="4">
        <v>45354</v>
      </c>
      <c r="C429" t="s">
        <v>13</v>
      </c>
      <c r="D429" t="s">
        <v>29</v>
      </c>
      <c r="E429" t="s">
        <v>32</v>
      </c>
      <c r="F429" t="s">
        <v>23</v>
      </c>
      <c r="G429">
        <v>21</v>
      </c>
      <c r="H429" t="str">
        <f t="shared" si="6"/>
        <v>18-24</v>
      </c>
      <c r="I429">
        <v>6</v>
      </c>
      <c r="J429">
        <v>11481</v>
      </c>
      <c r="K429">
        <v>5</v>
      </c>
      <c r="L429">
        <v>68886</v>
      </c>
      <c r="M429">
        <v>3444.3</v>
      </c>
      <c r="N429">
        <v>65441.7</v>
      </c>
    </row>
    <row r="430" spans="1:14" x14ac:dyDescent="0.25">
      <c r="A430">
        <v>10429</v>
      </c>
      <c r="B430" s="4">
        <v>45355</v>
      </c>
      <c r="C430" t="s">
        <v>17</v>
      </c>
      <c r="D430" t="s">
        <v>29</v>
      </c>
      <c r="E430" t="s">
        <v>32</v>
      </c>
      <c r="F430" t="s">
        <v>31</v>
      </c>
      <c r="G430">
        <v>53</v>
      </c>
      <c r="H430" t="str">
        <f t="shared" si="6"/>
        <v>45-54</v>
      </c>
      <c r="I430">
        <v>7</v>
      </c>
      <c r="J430">
        <v>38753</v>
      </c>
      <c r="K430">
        <v>20</v>
      </c>
      <c r="L430">
        <v>271271</v>
      </c>
      <c r="M430">
        <v>54254.2</v>
      </c>
      <c r="N430">
        <v>217016.8</v>
      </c>
    </row>
    <row r="431" spans="1:14" x14ac:dyDescent="0.25">
      <c r="A431">
        <v>10430</v>
      </c>
      <c r="B431" s="4">
        <v>45356</v>
      </c>
      <c r="C431" t="s">
        <v>21</v>
      </c>
      <c r="D431" t="s">
        <v>29</v>
      </c>
      <c r="E431" t="s">
        <v>15</v>
      </c>
      <c r="F431" t="s">
        <v>24</v>
      </c>
      <c r="G431">
        <v>55</v>
      </c>
      <c r="H431" t="str">
        <f t="shared" si="6"/>
        <v>55+</v>
      </c>
      <c r="I431">
        <v>1</v>
      </c>
      <c r="J431">
        <v>22799</v>
      </c>
      <c r="K431">
        <v>20</v>
      </c>
      <c r="L431">
        <v>22799</v>
      </c>
      <c r="M431">
        <v>4559.8</v>
      </c>
      <c r="N431">
        <v>18239.2</v>
      </c>
    </row>
    <row r="432" spans="1:14" x14ac:dyDescent="0.25">
      <c r="A432">
        <v>10431</v>
      </c>
      <c r="B432" s="4">
        <v>45357</v>
      </c>
      <c r="C432" t="s">
        <v>33</v>
      </c>
      <c r="D432" t="s">
        <v>22</v>
      </c>
      <c r="E432" t="s">
        <v>32</v>
      </c>
      <c r="F432" t="s">
        <v>26</v>
      </c>
      <c r="G432">
        <v>59</v>
      </c>
      <c r="H432" t="str">
        <f t="shared" si="6"/>
        <v>55+</v>
      </c>
      <c r="I432">
        <v>7</v>
      </c>
      <c r="J432">
        <v>15740</v>
      </c>
      <c r="K432">
        <v>15</v>
      </c>
      <c r="L432">
        <v>110180</v>
      </c>
      <c r="M432">
        <v>16527</v>
      </c>
      <c r="N432">
        <v>93653</v>
      </c>
    </row>
    <row r="433" spans="1:14" x14ac:dyDescent="0.25">
      <c r="A433">
        <v>10432</v>
      </c>
      <c r="B433" s="4">
        <v>45358</v>
      </c>
      <c r="C433" t="s">
        <v>33</v>
      </c>
      <c r="D433" t="s">
        <v>14</v>
      </c>
      <c r="E433" t="s">
        <v>15</v>
      </c>
      <c r="F433" t="s">
        <v>31</v>
      </c>
      <c r="G433">
        <v>27</v>
      </c>
      <c r="H433" t="str">
        <f t="shared" si="6"/>
        <v>25-34</v>
      </c>
      <c r="I433">
        <v>7</v>
      </c>
      <c r="J433">
        <v>25718</v>
      </c>
      <c r="K433">
        <v>10</v>
      </c>
      <c r="L433">
        <v>180026</v>
      </c>
      <c r="M433">
        <v>18002.599999999999</v>
      </c>
      <c r="N433">
        <v>162023.4</v>
      </c>
    </row>
    <row r="434" spans="1:14" x14ac:dyDescent="0.25">
      <c r="A434">
        <v>10433</v>
      </c>
      <c r="B434" s="4">
        <v>45359</v>
      </c>
      <c r="C434" t="s">
        <v>17</v>
      </c>
      <c r="D434" t="s">
        <v>27</v>
      </c>
      <c r="E434" t="s">
        <v>25</v>
      </c>
      <c r="F434" t="s">
        <v>24</v>
      </c>
      <c r="G434">
        <v>33</v>
      </c>
      <c r="H434" t="str">
        <f t="shared" si="6"/>
        <v>25-34</v>
      </c>
      <c r="I434">
        <v>6</v>
      </c>
      <c r="J434">
        <v>35281</v>
      </c>
      <c r="K434">
        <v>5</v>
      </c>
      <c r="L434">
        <v>211686</v>
      </c>
      <c r="M434">
        <v>10584.3</v>
      </c>
      <c r="N434">
        <v>201101.7</v>
      </c>
    </row>
    <row r="435" spans="1:14" x14ac:dyDescent="0.25">
      <c r="A435">
        <v>10434</v>
      </c>
      <c r="B435" s="4">
        <v>45360</v>
      </c>
      <c r="C435" t="s">
        <v>21</v>
      </c>
      <c r="D435" t="s">
        <v>27</v>
      </c>
      <c r="E435" t="s">
        <v>32</v>
      </c>
      <c r="F435" t="s">
        <v>20</v>
      </c>
      <c r="G435">
        <v>47</v>
      </c>
      <c r="H435" t="str">
        <f t="shared" si="6"/>
        <v>45-54</v>
      </c>
      <c r="I435">
        <v>6</v>
      </c>
      <c r="J435">
        <v>35635</v>
      </c>
      <c r="K435">
        <v>15</v>
      </c>
      <c r="L435">
        <v>213810</v>
      </c>
      <c r="M435">
        <v>32071.5</v>
      </c>
      <c r="N435">
        <v>181738.5</v>
      </c>
    </row>
    <row r="436" spans="1:14" x14ac:dyDescent="0.25">
      <c r="A436">
        <v>10435</v>
      </c>
      <c r="B436" s="4">
        <v>45361</v>
      </c>
      <c r="C436" t="s">
        <v>13</v>
      </c>
      <c r="D436" t="s">
        <v>29</v>
      </c>
      <c r="E436" t="s">
        <v>25</v>
      </c>
      <c r="F436" t="s">
        <v>20</v>
      </c>
      <c r="G436">
        <v>58</v>
      </c>
      <c r="H436" t="str">
        <f t="shared" si="6"/>
        <v>55+</v>
      </c>
      <c r="I436">
        <v>2</v>
      </c>
      <c r="J436">
        <v>7908</v>
      </c>
      <c r="K436">
        <v>20</v>
      </c>
      <c r="L436">
        <v>15816</v>
      </c>
      <c r="M436">
        <v>3163.2</v>
      </c>
      <c r="N436">
        <v>12652.8</v>
      </c>
    </row>
    <row r="437" spans="1:14" x14ac:dyDescent="0.25">
      <c r="A437">
        <v>10436</v>
      </c>
      <c r="B437" s="4">
        <v>45362</v>
      </c>
      <c r="C437" t="s">
        <v>13</v>
      </c>
      <c r="D437" t="s">
        <v>27</v>
      </c>
      <c r="E437" t="s">
        <v>19</v>
      </c>
      <c r="F437" t="s">
        <v>31</v>
      </c>
      <c r="G437">
        <v>39</v>
      </c>
      <c r="H437" t="str">
        <f t="shared" si="6"/>
        <v>35-44</v>
      </c>
      <c r="I437">
        <v>3</v>
      </c>
      <c r="J437">
        <v>26650</v>
      </c>
      <c r="K437">
        <v>15</v>
      </c>
      <c r="L437">
        <v>79950</v>
      </c>
      <c r="M437">
        <v>11992.5</v>
      </c>
      <c r="N437">
        <v>67957.5</v>
      </c>
    </row>
    <row r="438" spans="1:14" x14ac:dyDescent="0.25">
      <c r="A438">
        <v>10437</v>
      </c>
      <c r="B438" s="4">
        <v>45363</v>
      </c>
      <c r="C438" t="s">
        <v>33</v>
      </c>
      <c r="D438" t="s">
        <v>29</v>
      </c>
      <c r="E438" t="s">
        <v>25</v>
      </c>
      <c r="F438" t="s">
        <v>30</v>
      </c>
      <c r="G438">
        <v>30</v>
      </c>
      <c r="H438" t="str">
        <f t="shared" si="6"/>
        <v>25-34</v>
      </c>
      <c r="I438">
        <v>6</v>
      </c>
      <c r="J438">
        <v>24210</v>
      </c>
      <c r="K438">
        <v>5</v>
      </c>
      <c r="L438">
        <v>145260</v>
      </c>
      <c r="M438">
        <v>7263</v>
      </c>
      <c r="N438">
        <v>137997</v>
      </c>
    </row>
    <row r="439" spans="1:14" x14ac:dyDescent="0.25">
      <c r="A439">
        <v>10438</v>
      </c>
      <c r="B439" s="4">
        <v>45364</v>
      </c>
      <c r="C439" t="s">
        <v>13</v>
      </c>
      <c r="D439" t="s">
        <v>14</v>
      </c>
      <c r="E439" t="s">
        <v>32</v>
      </c>
      <c r="F439" t="s">
        <v>20</v>
      </c>
      <c r="G439">
        <v>47</v>
      </c>
      <c r="H439" t="str">
        <f t="shared" si="6"/>
        <v>45-54</v>
      </c>
      <c r="I439">
        <v>5</v>
      </c>
      <c r="J439">
        <v>33246</v>
      </c>
      <c r="K439">
        <v>0</v>
      </c>
      <c r="L439">
        <v>166230</v>
      </c>
      <c r="M439">
        <v>0</v>
      </c>
      <c r="N439">
        <v>166230</v>
      </c>
    </row>
    <row r="440" spans="1:14" x14ac:dyDescent="0.25">
      <c r="A440">
        <v>10439</v>
      </c>
      <c r="B440" s="4">
        <v>45365</v>
      </c>
      <c r="C440" t="s">
        <v>17</v>
      </c>
      <c r="D440" t="s">
        <v>27</v>
      </c>
      <c r="E440" t="s">
        <v>19</v>
      </c>
      <c r="F440" t="s">
        <v>26</v>
      </c>
      <c r="G440">
        <v>43</v>
      </c>
      <c r="H440" t="str">
        <f t="shared" si="6"/>
        <v>35-44</v>
      </c>
      <c r="I440">
        <v>5</v>
      </c>
      <c r="J440">
        <v>3160</v>
      </c>
      <c r="K440">
        <v>15</v>
      </c>
      <c r="L440">
        <v>15800</v>
      </c>
      <c r="M440">
        <v>2370</v>
      </c>
      <c r="N440">
        <v>13430</v>
      </c>
    </row>
    <row r="441" spans="1:14" x14ac:dyDescent="0.25">
      <c r="A441">
        <v>10440</v>
      </c>
      <c r="B441" s="4">
        <v>45366</v>
      </c>
      <c r="C441" t="s">
        <v>33</v>
      </c>
      <c r="D441" t="s">
        <v>27</v>
      </c>
      <c r="E441" t="s">
        <v>19</v>
      </c>
      <c r="F441" t="s">
        <v>26</v>
      </c>
      <c r="G441">
        <v>40</v>
      </c>
      <c r="H441" t="str">
        <f t="shared" si="6"/>
        <v>35-44</v>
      </c>
      <c r="I441">
        <v>3</v>
      </c>
      <c r="J441">
        <v>6775</v>
      </c>
      <c r="K441">
        <v>20</v>
      </c>
      <c r="L441">
        <v>20325</v>
      </c>
      <c r="M441">
        <v>4065</v>
      </c>
      <c r="N441">
        <v>16260</v>
      </c>
    </row>
    <row r="442" spans="1:14" x14ac:dyDescent="0.25">
      <c r="A442">
        <v>10441</v>
      </c>
      <c r="B442" s="4">
        <v>45367</v>
      </c>
      <c r="C442" t="s">
        <v>21</v>
      </c>
      <c r="D442" t="s">
        <v>14</v>
      </c>
      <c r="E442" t="s">
        <v>15</v>
      </c>
      <c r="F442" t="s">
        <v>26</v>
      </c>
      <c r="G442">
        <v>55</v>
      </c>
      <c r="H442" t="str">
        <f t="shared" si="6"/>
        <v>55+</v>
      </c>
      <c r="I442">
        <v>3</v>
      </c>
      <c r="J442">
        <v>29133</v>
      </c>
      <c r="K442">
        <v>0</v>
      </c>
      <c r="L442">
        <v>87399</v>
      </c>
      <c r="M442">
        <v>0</v>
      </c>
      <c r="N442">
        <v>87399</v>
      </c>
    </row>
    <row r="443" spans="1:14" x14ac:dyDescent="0.25">
      <c r="A443">
        <v>10442</v>
      </c>
      <c r="B443" s="4">
        <v>45368</v>
      </c>
      <c r="C443" t="s">
        <v>13</v>
      </c>
      <c r="D443" t="s">
        <v>18</v>
      </c>
      <c r="E443" t="s">
        <v>32</v>
      </c>
      <c r="F443" t="s">
        <v>16</v>
      </c>
      <c r="G443">
        <v>61</v>
      </c>
      <c r="H443" t="str">
        <f t="shared" si="6"/>
        <v>55+</v>
      </c>
      <c r="I443">
        <v>8</v>
      </c>
      <c r="J443">
        <v>18250</v>
      </c>
      <c r="K443">
        <v>10</v>
      </c>
      <c r="L443">
        <v>146000</v>
      </c>
      <c r="M443">
        <v>14600</v>
      </c>
      <c r="N443">
        <v>131400</v>
      </c>
    </row>
    <row r="444" spans="1:14" x14ac:dyDescent="0.25">
      <c r="A444">
        <v>10443</v>
      </c>
      <c r="B444" s="4">
        <v>45369</v>
      </c>
      <c r="C444" t="s">
        <v>13</v>
      </c>
      <c r="D444" t="s">
        <v>27</v>
      </c>
      <c r="E444" t="s">
        <v>15</v>
      </c>
      <c r="F444" t="s">
        <v>31</v>
      </c>
      <c r="G444">
        <v>33</v>
      </c>
      <c r="H444" t="str">
        <f t="shared" si="6"/>
        <v>25-34</v>
      </c>
      <c r="I444">
        <v>7</v>
      </c>
      <c r="J444">
        <v>35462</v>
      </c>
      <c r="K444">
        <v>5</v>
      </c>
      <c r="L444">
        <v>248234</v>
      </c>
      <c r="M444">
        <v>12411.7</v>
      </c>
      <c r="N444">
        <v>235822.3</v>
      </c>
    </row>
    <row r="445" spans="1:14" x14ac:dyDescent="0.25">
      <c r="A445">
        <v>10444</v>
      </c>
      <c r="B445" s="4">
        <v>45370</v>
      </c>
      <c r="C445" t="s">
        <v>21</v>
      </c>
      <c r="D445" t="s">
        <v>14</v>
      </c>
      <c r="E445" t="s">
        <v>19</v>
      </c>
      <c r="F445" t="s">
        <v>16</v>
      </c>
      <c r="G445">
        <v>40</v>
      </c>
      <c r="H445" t="str">
        <f t="shared" si="6"/>
        <v>35-44</v>
      </c>
      <c r="I445">
        <v>6</v>
      </c>
      <c r="J445">
        <v>29858</v>
      </c>
      <c r="K445">
        <v>5</v>
      </c>
      <c r="L445">
        <v>179148</v>
      </c>
      <c r="M445">
        <v>8957.4</v>
      </c>
      <c r="N445">
        <v>170190.6</v>
      </c>
    </row>
    <row r="446" spans="1:14" x14ac:dyDescent="0.25">
      <c r="A446">
        <v>10445</v>
      </c>
      <c r="B446" s="4">
        <v>45371</v>
      </c>
      <c r="C446" t="s">
        <v>13</v>
      </c>
      <c r="D446" t="s">
        <v>27</v>
      </c>
      <c r="E446" t="s">
        <v>32</v>
      </c>
      <c r="F446" t="s">
        <v>31</v>
      </c>
      <c r="G446">
        <v>45</v>
      </c>
      <c r="H446" t="str">
        <f t="shared" si="6"/>
        <v>45-54</v>
      </c>
      <c r="I446">
        <v>3</v>
      </c>
      <c r="J446">
        <v>44269</v>
      </c>
      <c r="K446">
        <v>20</v>
      </c>
      <c r="L446">
        <v>132807</v>
      </c>
      <c r="M446">
        <v>26561.4</v>
      </c>
      <c r="N446">
        <v>106245.6</v>
      </c>
    </row>
    <row r="447" spans="1:14" x14ac:dyDescent="0.25">
      <c r="A447">
        <v>10446</v>
      </c>
      <c r="B447" s="4">
        <v>45372</v>
      </c>
      <c r="C447" t="s">
        <v>17</v>
      </c>
      <c r="D447" t="s">
        <v>29</v>
      </c>
      <c r="E447" t="s">
        <v>19</v>
      </c>
      <c r="F447" t="s">
        <v>23</v>
      </c>
      <c r="G447">
        <v>54</v>
      </c>
      <c r="H447" t="str">
        <f t="shared" si="6"/>
        <v>45-54</v>
      </c>
      <c r="I447">
        <v>8</v>
      </c>
      <c r="J447">
        <v>47848</v>
      </c>
      <c r="K447">
        <v>0</v>
      </c>
      <c r="L447">
        <v>382784</v>
      </c>
      <c r="M447">
        <v>0</v>
      </c>
      <c r="N447">
        <v>382784</v>
      </c>
    </row>
    <row r="448" spans="1:14" x14ac:dyDescent="0.25">
      <c r="A448">
        <v>10447</v>
      </c>
      <c r="B448" s="4">
        <v>45373</v>
      </c>
      <c r="C448" t="s">
        <v>17</v>
      </c>
      <c r="D448" t="s">
        <v>29</v>
      </c>
      <c r="E448" t="s">
        <v>32</v>
      </c>
      <c r="F448" t="s">
        <v>20</v>
      </c>
      <c r="G448">
        <v>63</v>
      </c>
      <c r="H448" t="str">
        <f t="shared" si="6"/>
        <v>55+</v>
      </c>
      <c r="I448">
        <v>4</v>
      </c>
      <c r="J448">
        <v>47778</v>
      </c>
      <c r="K448">
        <v>10</v>
      </c>
      <c r="L448">
        <v>191112</v>
      </c>
      <c r="M448">
        <v>19111.2</v>
      </c>
      <c r="N448">
        <v>172000.8</v>
      </c>
    </row>
    <row r="449" spans="1:14" x14ac:dyDescent="0.25">
      <c r="A449">
        <v>10448</v>
      </c>
      <c r="B449" s="4">
        <v>45374</v>
      </c>
      <c r="C449" t="s">
        <v>13</v>
      </c>
      <c r="D449" t="s">
        <v>14</v>
      </c>
      <c r="E449" t="s">
        <v>32</v>
      </c>
      <c r="F449" t="s">
        <v>31</v>
      </c>
      <c r="G449">
        <v>20</v>
      </c>
      <c r="H449" t="str">
        <f t="shared" si="6"/>
        <v>18-24</v>
      </c>
      <c r="I449">
        <v>5</v>
      </c>
      <c r="J449">
        <v>9876</v>
      </c>
      <c r="K449">
        <v>15</v>
      </c>
      <c r="L449">
        <v>49380</v>
      </c>
      <c r="M449">
        <v>7407</v>
      </c>
      <c r="N449">
        <v>41973</v>
      </c>
    </row>
    <row r="450" spans="1:14" x14ac:dyDescent="0.25">
      <c r="A450">
        <v>10449</v>
      </c>
      <c r="B450" s="4">
        <v>45375</v>
      </c>
      <c r="C450" t="s">
        <v>33</v>
      </c>
      <c r="D450" t="s">
        <v>27</v>
      </c>
      <c r="E450" t="s">
        <v>32</v>
      </c>
      <c r="F450" t="s">
        <v>20</v>
      </c>
      <c r="G450">
        <v>21</v>
      </c>
      <c r="H450" t="str">
        <f t="shared" si="6"/>
        <v>18-24</v>
      </c>
      <c r="I450">
        <v>5</v>
      </c>
      <c r="J450">
        <v>24850</v>
      </c>
      <c r="K450">
        <v>5</v>
      </c>
      <c r="L450">
        <v>124250</v>
      </c>
      <c r="M450">
        <v>6212.5</v>
      </c>
      <c r="N450">
        <v>118037.5</v>
      </c>
    </row>
    <row r="451" spans="1:14" x14ac:dyDescent="0.25">
      <c r="A451">
        <v>10450</v>
      </c>
      <c r="B451" s="4">
        <v>45376</v>
      </c>
      <c r="C451" t="s">
        <v>17</v>
      </c>
      <c r="D451" t="s">
        <v>18</v>
      </c>
      <c r="E451" t="s">
        <v>32</v>
      </c>
      <c r="F451" t="s">
        <v>30</v>
      </c>
      <c r="G451">
        <v>49</v>
      </c>
      <c r="H451" t="str">
        <f t="shared" ref="H451:H514" si="7">IF(G451&lt;25,"18-24",IF(G451&lt;35,"25-34",IF(G451&lt;45,"35-44",IF(G451&lt;55,"45-54","55+"))))</f>
        <v>45-54</v>
      </c>
      <c r="I451">
        <v>8</v>
      </c>
      <c r="J451">
        <v>660</v>
      </c>
      <c r="K451">
        <v>5</v>
      </c>
      <c r="L451">
        <v>5280</v>
      </c>
      <c r="M451">
        <v>264</v>
      </c>
      <c r="N451">
        <v>5016</v>
      </c>
    </row>
    <row r="452" spans="1:14" x14ac:dyDescent="0.25">
      <c r="A452">
        <v>10451</v>
      </c>
      <c r="B452" s="4">
        <v>45377</v>
      </c>
      <c r="C452" t="s">
        <v>33</v>
      </c>
      <c r="D452" t="s">
        <v>14</v>
      </c>
      <c r="E452" t="s">
        <v>32</v>
      </c>
      <c r="F452" t="s">
        <v>28</v>
      </c>
      <c r="G452">
        <v>26</v>
      </c>
      <c r="H452" t="str">
        <f t="shared" si="7"/>
        <v>25-34</v>
      </c>
      <c r="I452">
        <v>5</v>
      </c>
      <c r="J452">
        <v>5310</v>
      </c>
      <c r="K452">
        <v>5</v>
      </c>
      <c r="L452">
        <v>26550</v>
      </c>
      <c r="M452">
        <v>1327.5</v>
      </c>
      <c r="N452">
        <v>25222.5</v>
      </c>
    </row>
    <row r="453" spans="1:14" x14ac:dyDescent="0.25">
      <c r="A453">
        <v>10452</v>
      </c>
      <c r="B453" s="4">
        <v>45378</v>
      </c>
      <c r="C453" t="s">
        <v>21</v>
      </c>
      <c r="D453" t="s">
        <v>14</v>
      </c>
      <c r="E453" t="s">
        <v>32</v>
      </c>
      <c r="F453" t="s">
        <v>30</v>
      </c>
      <c r="G453">
        <v>26</v>
      </c>
      <c r="H453" t="str">
        <f t="shared" si="7"/>
        <v>25-34</v>
      </c>
      <c r="I453">
        <v>4</v>
      </c>
      <c r="J453">
        <v>35252</v>
      </c>
      <c r="K453">
        <v>20</v>
      </c>
      <c r="L453">
        <v>141008</v>
      </c>
      <c r="M453">
        <v>28201.599999999999</v>
      </c>
      <c r="N453">
        <v>112806.39999999999</v>
      </c>
    </row>
    <row r="454" spans="1:14" x14ac:dyDescent="0.25">
      <c r="A454">
        <v>10453</v>
      </c>
      <c r="B454" s="4">
        <v>45379</v>
      </c>
      <c r="C454" t="s">
        <v>33</v>
      </c>
      <c r="D454" t="s">
        <v>27</v>
      </c>
      <c r="E454" t="s">
        <v>25</v>
      </c>
      <c r="F454" t="s">
        <v>24</v>
      </c>
      <c r="G454">
        <v>53</v>
      </c>
      <c r="H454" t="str">
        <f t="shared" si="7"/>
        <v>45-54</v>
      </c>
      <c r="I454">
        <v>3</v>
      </c>
      <c r="J454">
        <v>37998</v>
      </c>
      <c r="K454">
        <v>10</v>
      </c>
      <c r="L454">
        <v>113994</v>
      </c>
      <c r="M454">
        <v>11399.4</v>
      </c>
      <c r="N454">
        <v>102594.6</v>
      </c>
    </row>
    <row r="455" spans="1:14" x14ac:dyDescent="0.25">
      <c r="A455">
        <v>10454</v>
      </c>
      <c r="B455" s="4">
        <v>45380</v>
      </c>
      <c r="C455" t="s">
        <v>21</v>
      </c>
      <c r="D455" t="s">
        <v>22</v>
      </c>
      <c r="E455" t="s">
        <v>15</v>
      </c>
      <c r="F455" t="s">
        <v>31</v>
      </c>
      <c r="G455">
        <v>43</v>
      </c>
      <c r="H455" t="str">
        <f t="shared" si="7"/>
        <v>35-44</v>
      </c>
      <c r="I455">
        <v>3</v>
      </c>
      <c r="J455">
        <v>43946</v>
      </c>
      <c r="K455">
        <v>10</v>
      </c>
      <c r="L455">
        <v>131838</v>
      </c>
      <c r="M455">
        <v>13183.8</v>
      </c>
      <c r="N455">
        <v>118654.2</v>
      </c>
    </row>
    <row r="456" spans="1:14" x14ac:dyDescent="0.25">
      <c r="A456">
        <v>10455</v>
      </c>
      <c r="B456" s="4">
        <v>45381</v>
      </c>
      <c r="C456" t="s">
        <v>33</v>
      </c>
      <c r="D456" t="s">
        <v>27</v>
      </c>
      <c r="E456" t="s">
        <v>15</v>
      </c>
      <c r="F456" t="s">
        <v>16</v>
      </c>
      <c r="G456">
        <v>34</v>
      </c>
      <c r="H456" t="str">
        <f t="shared" si="7"/>
        <v>25-34</v>
      </c>
      <c r="I456">
        <v>1</v>
      </c>
      <c r="J456">
        <v>18813</v>
      </c>
      <c r="K456">
        <v>10</v>
      </c>
      <c r="L456">
        <v>18813</v>
      </c>
      <c r="M456">
        <v>1881.3</v>
      </c>
      <c r="N456">
        <v>16931.7</v>
      </c>
    </row>
    <row r="457" spans="1:14" x14ac:dyDescent="0.25">
      <c r="A457">
        <v>10456</v>
      </c>
      <c r="B457" s="4">
        <v>45382</v>
      </c>
      <c r="C457" t="s">
        <v>17</v>
      </c>
      <c r="D457" t="s">
        <v>18</v>
      </c>
      <c r="E457" t="s">
        <v>25</v>
      </c>
      <c r="F457" t="s">
        <v>31</v>
      </c>
      <c r="G457">
        <v>60</v>
      </c>
      <c r="H457" t="str">
        <f t="shared" si="7"/>
        <v>55+</v>
      </c>
      <c r="I457">
        <v>5</v>
      </c>
      <c r="J457">
        <v>22380</v>
      </c>
      <c r="K457">
        <v>20</v>
      </c>
      <c r="L457">
        <v>111900</v>
      </c>
      <c r="M457">
        <v>22380</v>
      </c>
      <c r="N457">
        <v>89520</v>
      </c>
    </row>
    <row r="458" spans="1:14" x14ac:dyDescent="0.25">
      <c r="A458">
        <v>10457</v>
      </c>
      <c r="B458" s="4">
        <v>45383</v>
      </c>
      <c r="C458" t="s">
        <v>21</v>
      </c>
      <c r="D458" t="s">
        <v>27</v>
      </c>
      <c r="E458" t="s">
        <v>19</v>
      </c>
      <c r="F458" t="s">
        <v>16</v>
      </c>
      <c r="G458">
        <v>39</v>
      </c>
      <c r="H458" t="str">
        <f t="shared" si="7"/>
        <v>35-44</v>
      </c>
      <c r="I458">
        <v>9</v>
      </c>
      <c r="J458">
        <v>26342</v>
      </c>
      <c r="K458">
        <v>20</v>
      </c>
      <c r="L458">
        <v>237078</v>
      </c>
      <c r="M458">
        <v>47415.6</v>
      </c>
      <c r="N458">
        <v>189662.4</v>
      </c>
    </row>
    <row r="459" spans="1:14" x14ac:dyDescent="0.25">
      <c r="A459">
        <v>10458</v>
      </c>
      <c r="B459" s="4">
        <v>45384</v>
      </c>
      <c r="C459" t="s">
        <v>33</v>
      </c>
      <c r="D459" t="s">
        <v>14</v>
      </c>
      <c r="E459" t="s">
        <v>25</v>
      </c>
      <c r="F459" t="s">
        <v>16</v>
      </c>
      <c r="G459">
        <v>28</v>
      </c>
      <c r="H459" t="str">
        <f t="shared" si="7"/>
        <v>25-34</v>
      </c>
      <c r="I459">
        <v>8</v>
      </c>
      <c r="J459">
        <v>5804</v>
      </c>
      <c r="K459">
        <v>5</v>
      </c>
      <c r="L459">
        <v>46432</v>
      </c>
      <c r="M459">
        <v>2321.6</v>
      </c>
      <c r="N459">
        <v>44110.400000000001</v>
      </c>
    </row>
    <row r="460" spans="1:14" x14ac:dyDescent="0.25">
      <c r="A460">
        <v>10459</v>
      </c>
      <c r="B460" s="4">
        <v>45385</v>
      </c>
      <c r="C460" t="s">
        <v>33</v>
      </c>
      <c r="D460" t="s">
        <v>29</v>
      </c>
      <c r="E460" t="s">
        <v>25</v>
      </c>
      <c r="F460" t="s">
        <v>26</v>
      </c>
      <c r="G460">
        <v>50</v>
      </c>
      <c r="H460" t="str">
        <f t="shared" si="7"/>
        <v>45-54</v>
      </c>
      <c r="I460">
        <v>1</v>
      </c>
      <c r="J460">
        <v>48932</v>
      </c>
      <c r="K460">
        <v>15</v>
      </c>
      <c r="L460">
        <v>48932</v>
      </c>
      <c r="M460">
        <v>7339.8</v>
      </c>
      <c r="N460">
        <v>41592.199999999997</v>
      </c>
    </row>
    <row r="461" spans="1:14" x14ac:dyDescent="0.25">
      <c r="A461">
        <v>10460</v>
      </c>
      <c r="B461" s="4">
        <v>45386</v>
      </c>
      <c r="C461" t="s">
        <v>21</v>
      </c>
      <c r="D461" t="s">
        <v>18</v>
      </c>
      <c r="E461" t="s">
        <v>15</v>
      </c>
      <c r="F461" t="s">
        <v>31</v>
      </c>
      <c r="G461">
        <v>24</v>
      </c>
      <c r="H461" t="str">
        <f t="shared" si="7"/>
        <v>18-24</v>
      </c>
      <c r="I461">
        <v>6</v>
      </c>
      <c r="J461">
        <v>33217</v>
      </c>
      <c r="K461">
        <v>0</v>
      </c>
      <c r="L461">
        <v>199302</v>
      </c>
      <c r="M461">
        <v>0</v>
      </c>
      <c r="N461">
        <v>199302</v>
      </c>
    </row>
    <row r="462" spans="1:14" x14ac:dyDescent="0.25">
      <c r="A462">
        <v>10461</v>
      </c>
      <c r="B462" s="4">
        <v>45387</v>
      </c>
      <c r="C462" t="s">
        <v>17</v>
      </c>
      <c r="D462" t="s">
        <v>14</v>
      </c>
      <c r="E462" t="s">
        <v>25</v>
      </c>
      <c r="F462" t="s">
        <v>31</v>
      </c>
      <c r="G462">
        <v>27</v>
      </c>
      <c r="H462" t="str">
        <f t="shared" si="7"/>
        <v>25-34</v>
      </c>
      <c r="I462">
        <v>1</v>
      </c>
      <c r="J462">
        <v>32247</v>
      </c>
      <c r="K462">
        <v>10</v>
      </c>
      <c r="L462">
        <v>32247</v>
      </c>
      <c r="M462">
        <v>3224.7</v>
      </c>
      <c r="N462">
        <v>29022.3</v>
      </c>
    </row>
    <row r="463" spans="1:14" x14ac:dyDescent="0.25">
      <c r="A463">
        <v>10462</v>
      </c>
      <c r="B463" s="4">
        <v>45388</v>
      </c>
      <c r="C463" t="s">
        <v>33</v>
      </c>
      <c r="D463" t="s">
        <v>27</v>
      </c>
      <c r="E463" t="s">
        <v>25</v>
      </c>
      <c r="F463" t="s">
        <v>30</v>
      </c>
      <c r="G463">
        <v>55</v>
      </c>
      <c r="H463" t="str">
        <f t="shared" si="7"/>
        <v>55+</v>
      </c>
      <c r="I463">
        <v>5</v>
      </c>
      <c r="J463">
        <v>34477</v>
      </c>
      <c r="K463">
        <v>0</v>
      </c>
      <c r="L463">
        <v>172385</v>
      </c>
      <c r="M463">
        <v>0</v>
      </c>
      <c r="N463">
        <v>172385</v>
      </c>
    </row>
    <row r="464" spans="1:14" x14ac:dyDescent="0.25">
      <c r="A464">
        <v>10463</v>
      </c>
      <c r="B464" s="4">
        <v>45389</v>
      </c>
      <c r="C464" t="s">
        <v>21</v>
      </c>
      <c r="D464" t="s">
        <v>22</v>
      </c>
      <c r="E464" t="s">
        <v>15</v>
      </c>
      <c r="F464" t="s">
        <v>30</v>
      </c>
      <c r="G464">
        <v>20</v>
      </c>
      <c r="H464" t="str">
        <f t="shared" si="7"/>
        <v>18-24</v>
      </c>
      <c r="I464">
        <v>7</v>
      </c>
      <c r="J464">
        <v>36134</v>
      </c>
      <c r="K464">
        <v>15</v>
      </c>
      <c r="L464">
        <v>252938</v>
      </c>
      <c r="M464">
        <v>37940.699999999997</v>
      </c>
      <c r="N464">
        <v>214997.3</v>
      </c>
    </row>
    <row r="465" spans="1:14" x14ac:dyDescent="0.25">
      <c r="A465">
        <v>10464</v>
      </c>
      <c r="B465" s="4">
        <v>45390</v>
      </c>
      <c r="C465" t="s">
        <v>17</v>
      </c>
      <c r="D465" t="s">
        <v>14</v>
      </c>
      <c r="E465" t="s">
        <v>15</v>
      </c>
      <c r="F465" t="s">
        <v>28</v>
      </c>
      <c r="G465">
        <v>63</v>
      </c>
      <c r="H465" t="str">
        <f t="shared" si="7"/>
        <v>55+</v>
      </c>
      <c r="I465">
        <v>9</v>
      </c>
      <c r="J465">
        <v>29059</v>
      </c>
      <c r="K465">
        <v>5</v>
      </c>
      <c r="L465">
        <v>261531</v>
      </c>
      <c r="M465">
        <v>13076.55</v>
      </c>
      <c r="N465">
        <v>248454.45</v>
      </c>
    </row>
    <row r="466" spans="1:14" x14ac:dyDescent="0.25">
      <c r="A466">
        <v>10465</v>
      </c>
      <c r="B466" s="4">
        <v>45391</v>
      </c>
      <c r="C466" t="s">
        <v>33</v>
      </c>
      <c r="D466" t="s">
        <v>22</v>
      </c>
      <c r="E466" t="s">
        <v>32</v>
      </c>
      <c r="F466" t="s">
        <v>30</v>
      </c>
      <c r="G466">
        <v>31</v>
      </c>
      <c r="H466" t="str">
        <f t="shared" si="7"/>
        <v>25-34</v>
      </c>
      <c r="I466">
        <v>8</v>
      </c>
      <c r="J466">
        <v>36645</v>
      </c>
      <c r="K466">
        <v>5</v>
      </c>
      <c r="L466">
        <v>293160</v>
      </c>
      <c r="M466">
        <v>14658</v>
      </c>
      <c r="N466">
        <v>278502</v>
      </c>
    </row>
    <row r="467" spans="1:14" x14ac:dyDescent="0.25">
      <c r="A467">
        <v>10466</v>
      </c>
      <c r="B467" s="4">
        <v>45392</v>
      </c>
      <c r="C467" t="s">
        <v>17</v>
      </c>
      <c r="D467" t="s">
        <v>18</v>
      </c>
      <c r="E467" t="s">
        <v>15</v>
      </c>
      <c r="F467" t="s">
        <v>26</v>
      </c>
      <c r="G467">
        <v>59</v>
      </c>
      <c r="H467" t="str">
        <f t="shared" si="7"/>
        <v>55+</v>
      </c>
      <c r="I467">
        <v>5</v>
      </c>
      <c r="J467">
        <v>18767</v>
      </c>
      <c r="K467">
        <v>20</v>
      </c>
      <c r="L467">
        <v>93835</v>
      </c>
      <c r="M467">
        <v>18767</v>
      </c>
      <c r="N467">
        <v>75068</v>
      </c>
    </row>
    <row r="468" spans="1:14" x14ac:dyDescent="0.25">
      <c r="A468">
        <v>10467</v>
      </c>
      <c r="B468" s="4">
        <v>45393</v>
      </c>
      <c r="C468" t="s">
        <v>17</v>
      </c>
      <c r="D468" t="s">
        <v>14</v>
      </c>
      <c r="E468" t="s">
        <v>19</v>
      </c>
      <c r="F468" t="s">
        <v>23</v>
      </c>
      <c r="G468">
        <v>51</v>
      </c>
      <c r="H468" t="str">
        <f t="shared" si="7"/>
        <v>45-54</v>
      </c>
      <c r="I468">
        <v>5</v>
      </c>
      <c r="J468">
        <v>13476</v>
      </c>
      <c r="K468">
        <v>5</v>
      </c>
      <c r="L468">
        <v>67380</v>
      </c>
      <c r="M468">
        <v>3369</v>
      </c>
      <c r="N468">
        <v>64011</v>
      </c>
    </row>
    <row r="469" spans="1:14" x14ac:dyDescent="0.25">
      <c r="A469">
        <v>10468</v>
      </c>
      <c r="B469" s="4">
        <v>45394</v>
      </c>
      <c r="C469" t="s">
        <v>21</v>
      </c>
      <c r="D469" t="s">
        <v>29</v>
      </c>
      <c r="E469" t="s">
        <v>19</v>
      </c>
      <c r="F469" t="s">
        <v>31</v>
      </c>
      <c r="G469">
        <v>21</v>
      </c>
      <c r="H469" t="str">
        <f t="shared" si="7"/>
        <v>18-24</v>
      </c>
      <c r="I469">
        <v>3</v>
      </c>
      <c r="J469">
        <v>41512</v>
      </c>
      <c r="K469">
        <v>5</v>
      </c>
      <c r="L469">
        <v>124536</v>
      </c>
      <c r="M469">
        <v>6226.8</v>
      </c>
      <c r="N469">
        <v>118309.2</v>
      </c>
    </row>
    <row r="470" spans="1:14" x14ac:dyDescent="0.25">
      <c r="A470">
        <v>10469</v>
      </c>
      <c r="B470" s="4">
        <v>45395</v>
      </c>
      <c r="C470" t="s">
        <v>13</v>
      </c>
      <c r="D470" t="s">
        <v>22</v>
      </c>
      <c r="E470" t="s">
        <v>25</v>
      </c>
      <c r="F470" t="s">
        <v>24</v>
      </c>
      <c r="G470">
        <v>22</v>
      </c>
      <c r="H470" t="str">
        <f t="shared" si="7"/>
        <v>18-24</v>
      </c>
      <c r="I470">
        <v>4</v>
      </c>
      <c r="J470">
        <v>45913</v>
      </c>
      <c r="K470">
        <v>5</v>
      </c>
      <c r="L470">
        <v>183652</v>
      </c>
      <c r="M470">
        <v>9182.6</v>
      </c>
      <c r="N470">
        <v>174469.4</v>
      </c>
    </row>
    <row r="471" spans="1:14" x14ac:dyDescent="0.25">
      <c r="A471">
        <v>10470</v>
      </c>
      <c r="B471" s="4">
        <v>45396</v>
      </c>
      <c r="C471" t="s">
        <v>33</v>
      </c>
      <c r="D471" t="s">
        <v>18</v>
      </c>
      <c r="E471" t="s">
        <v>15</v>
      </c>
      <c r="F471" t="s">
        <v>16</v>
      </c>
      <c r="G471">
        <v>48</v>
      </c>
      <c r="H471" t="str">
        <f t="shared" si="7"/>
        <v>45-54</v>
      </c>
      <c r="I471">
        <v>3</v>
      </c>
      <c r="J471">
        <v>38101</v>
      </c>
      <c r="K471">
        <v>0</v>
      </c>
      <c r="L471">
        <v>114303</v>
      </c>
      <c r="M471">
        <v>0</v>
      </c>
      <c r="N471">
        <v>114303</v>
      </c>
    </row>
    <row r="472" spans="1:14" x14ac:dyDescent="0.25">
      <c r="A472">
        <v>10471</v>
      </c>
      <c r="B472" s="4">
        <v>45397</v>
      </c>
      <c r="C472" t="s">
        <v>13</v>
      </c>
      <c r="D472" t="s">
        <v>27</v>
      </c>
      <c r="E472" t="s">
        <v>15</v>
      </c>
      <c r="F472" t="s">
        <v>24</v>
      </c>
      <c r="G472">
        <v>19</v>
      </c>
      <c r="H472" t="str">
        <f t="shared" si="7"/>
        <v>18-24</v>
      </c>
      <c r="I472">
        <v>3</v>
      </c>
      <c r="J472">
        <v>10815</v>
      </c>
      <c r="K472">
        <v>20</v>
      </c>
      <c r="L472">
        <v>32445</v>
      </c>
      <c r="M472">
        <v>6489</v>
      </c>
      <c r="N472">
        <v>25956</v>
      </c>
    </row>
    <row r="473" spans="1:14" x14ac:dyDescent="0.25">
      <c r="A473">
        <v>10472</v>
      </c>
      <c r="B473" s="4">
        <v>45398</v>
      </c>
      <c r="C473" t="s">
        <v>21</v>
      </c>
      <c r="D473" t="s">
        <v>18</v>
      </c>
      <c r="E473" t="s">
        <v>32</v>
      </c>
      <c r="F473" t="s">
        <v>30</v>
      </c>
      <c r="G473">
        <v>23</v>
      </c>
      <c r="H473" t="str">
        <f t="shared" si="7"/>
        <v>18-24</v>
      </c>
      <c r="I473">
        <v>3</v>
      </c>
      <c r="J473">
        <v>3393</v>
      </c>
      <c r="K473">
        <v>5</v>
      </c>
      <c r="L473">
        <v>10179</v>
      </c>
      <c r="M473">
        <v>508.95</v>
      </c>
      <c r="N473">
        <v>9670.0499999999993</v>
      </c>
    </row>
    <row r="474" spans="1:14" x14ac:dyDescent="0.25">
      <c r="A474">
        <v>10473</v>
      </c>
      <c r="B474" s="4">
        <v>45399</v>
      </c>
      <c r="C474" t="s">
        <v>17</v>
      </c>
      <c r="D474" t="s">
        <v>22</v>
      </c>
      <c r="E474" t="s">
        <v>32</v>
      </c>
      <c r="F474" t="s">
        <v>30</v>
      </c>
      <c r="G474">
        <v>42</v>
      </c>
      <c r="H474" t="str">
        <f t="shared" si="7"/>
        <v>35-44</v>
      </c>
      <c r="I474">
        <v>6</v>
      </c>
      <c r="J474">
        <v>28282</v>
      </c>
      <c r="K474">
        <v>5</v>
      </c>
      <c r="L474">
        <v>169692</v>
      </c>
      <c r="M474">
        <v>8484.6</v>
      </c>
      <c r="N474">
        <v>161207.4</v>
      </c>
    </row>
    <row r="475" spans="1:14" x14ac:dyDescent="0.25">
      <c r="A475">
        <v>10474</v>
      </c>
      <c r="B475" s="4">
        <v>45400</v>
      </c>
      <c r="C475" t="s">
        <v>33</v>
      </c>
      <c r="D475" t="s">
        <v>14</v>
      </c>
      <c r="E475" t="s">
        <v>19</v>
      </c>
      <c r="F475" t="s">
        <v>23</v>
      </c>
      <c r="G475">
        <v>28</v>
      </c>
      <c r="H475" t="str">
        <f t="shared" si="7"/>
        <v>25-34</v>
      </c>
      <c r="I475">
        <v>9</v>
      </c>
      <c r="J475">
        <v>33889</v>
      </c>
      <c r="K475">
        <v>10</v>
      </c>
      <c r="L475">
        <v>305001</v>
      </c>
      <c r="M475">
        <v>30500.1</v>
      </c>
      <c r="N475">
        <v>274500.90000000002</v>
      </c>
    </row>
    <row r="476" spans="1:14" x14ac:dyDescent="0.25">
      <c r="A476">
        <v>10475</v>
      </c>
      <c r="B476" s="4">
        <v>45401</v>
      </c>
      <c r="C476" t="s">
        <v>33</v>
      </c>
      <c r="D476" t="s">
        <v>22</v>
      </c>
      <c r="E476" t="s">
        <v>32</v>
      </c>
      <c r="F476" t="s">
        <v>20</v>
      </c>
      <c r="G476">
        <v>54</v>
      </c>
      <c r="H476" t="str">
        <f t="shared" si="7"/>
        <v>45-54</v>
      </c>
      <c r="I476">
        <v>3</v>
      </c>
      <c r="J476">
        <v>42337</v>
      </c>
      <c r="K476">
        <v>0</v>
      </c>
      <c r="L476">
        <v>127011</v>
      </c>
      <c r="M476">
        <v>0</v>
      </c>
      <c r="N476">
        <v>127011</v>
      </c>
    </row>
    <row r="477" spans="1:14" x14ac:dyDescent="0.25">
      <c r="A477">
        <v>10476</v>
      </c>
      <c r="B477" s="4">
        <v>45402</v>
      </c>
      <c r="C477" t="s">
        <v>33</v>
      </c>
      <c r="D477" t="s">
        <v>27</v>
      </c>
      <c r="E477" t="s">
        <v>15</v>
      </c>
      <c r="F477" t="s">
        <v>28</v>
      </c>
      <c r="G477">
        <v>19</v>
      </c>
      <c r="H477" t="str">
        <f t="shared" si="7"/>
        <v>18-24</v>
      </c>
      <c r="I477">
        <v>9</v>
      </c>
      <c r="J477">
        <v>43674</v>
      </c>
      <c r="K477">
        <v>0</v>
      </c>
      <c r="L477">
        <v>393066</v>
      </c>
      <c r="M477">
        <v>0</v>
      </c>
      <c r="N477">
        <v>393066</v>
      </c>
    </row>
    <row r="478" spans="1:14" x14ac:dyDescent="0.25">
      <c r="A478">
        <v>10477</v>
      </c>
      <c r="B478" s="4">
        <v>45403</v>
      </c>
      <c r="C478" t="s">
        <v>21</v>
      </c>
      <c r="D478" t="s">
        <v>29</v>
      </c>
      <c r="E478" t="s">
        <v>19</v>
      </c>
      <c r="F478" t="s">
        <v>28</v>
      </c>
      <c r="G478">
        <v>31</v>
      </c>
      <c r="H478" t="str">
        <f t="shared" si="7"/>
        <v>25-34</v>
      </c>
      <c r="I478">
        <v>6</v>
      </c>
      <c r="J478">
        <v>8525</v>
      </c>
      <c r="K478">
        <v>0</v>
      </c>
      <c r="L478">
        <v>51150</v>
      </c>
      <c r="M478">
        <v>0</v>
      </c>
      <c r="N478">
        <v>51150</v>
      </c>
    </row>
    <row r="479" spans="1:14" x14ac:dyDescent="0.25">
      <c r="A479">
        <v>10478</v>
      </c>
      <c r="B479" s="4">
        <v>45404</v>
      </c>
      <c r="C479" t="s">
        <v>13</v>
      </c>
      <c r="D479" t="s">
        <v>27</v>
      </c>
      <c r="E479" t="s">
        <v>19</v>
      </c>
      <c r="F479" t="s">
        <v>30</v>
      </c>
      <c r="G479">
        <v>24</v>
      </c>
      <c r="H479" t="str">
        <f t="shared" si="7"/>
        <v>18-24</v>
      </c>
      <c r="I479">
        <v>6</v>
      </c>
      <c r="J479">
        <v>29729</v>
      </c>
      <c r="K479">
        <v>0</v>
      </c>
      <c r="L479">
        <v>178374</v>
      </c>
      <c r="M479">
        <v>0</v>
      </c>
      <c r="N479">
        <v>178374</v>
      </c>
    </row>
    <row r="480" spans="1:14" x14ac:dyDescent="0.25">
      <c r="A480">
        <v>10479</v>
      </c>
      <c r="B480" s="4">
        <v>45405</v>
      </c>
      <c r="C480" t="s">
        <v>33</v>
      </c>
      <c r="D480" t="s">
        <v>14</v>
      </c>
      <c r="E480" t="s">
        <v>25</v>
      </c>
      <c r="F480" t="s">
        <v>20</v>
      </c>
      <c r="G480">
        <v>34</v>
      </c>
      <c r="H480" t="str">
        <f t="shared" si="7"/>
        <v>25-34</v>
      </c>
      <c r="I480">
        <v>1</v>
      </c>
      <c r="J480">
        <v>21011</v>
      </c>
      <c r="K480">
        <v>10</v>
      </c>
      <c r="L480">
        <v>21011</v>
      </c>
      <c r="M480">
        <v>2101.1</v>
      </c>
      <c r="N480">
        <v>18909.900000000001</v>
      </c>
    </row>
    <row r="481" spans="1:14" x14ac:dyDescent="0.25">
      <c r="A481">
        <v>10480</v>
      </c>
      <c r="B481" s="4">
        <v>45406</v>
      </c>
      <c r="C481" t="s">
        <v>17</v>
      </c>
      <c r="D481" t="s">
        <v>29</v>
      </c>
      <c r="E481" t="s">
        <v>25</v>
      </c>
      <c r="F481" t="s">
        <v>24</v>
      </c>
      <c r="G481">
        <v>60</v>
      </c>
      <c r="H481" t="str">
        <f t="shared" si="7"/>
        <v>55+</v>
      </c>
      <c r="I481">
        <v>1</v>
      </c>
      <c r="J481">
        <v>40316</v>
      </c>
      <c r="K481">
        <v>5</v>
      </c>
      <c r="L481">
        <v>40316</v>
      </c>
      <c r="M481">
        <v>2015.8</v>
      </c>
      <c r="N481">
        <v>38300.199999999997</v>
      </c>
    </row>
    <row r="482" spans="1:14" x14ac:dyDescent="0.25">
      <c r="A482">
        <v>10481</v>
      </c>
      <c r="B482" s="4">
        <v>45407</v>
      </c>
      <c r="C482" t="s">
        <v>13</v>
      </c>
      <c r="D482" t="s">
        <v>29</v>
      </c>
      <c r="E482" t="s">
        <v>19</v>
      </c>
      <c r="F482" t="s">
        <v>24</v>
      </c>
      <c r="G482">
        <v>63</v>
      </c>
      <c r="H482" t="str">
        <f t="shared" si="7"/>
        <v>55+</v>
      </c>
      <c r="I482">
        <v>1</v>
      </c>
      <c r="J482">
        <v>20566</v>
      </c>
      <c r="K482">
        <v>10</v>
      </c>
      <c r="L482">
        <v>20566</v>
      </c>
      <c r="M482">
        <v>2056.6</v>
      </c>
      <c r="N482">
        <v>18509.400000000001</v>
      </c>
    </row>
    <row r="483" spans="1:14" x14ac:dyDescent="0.25">
      <c r="A483">
        <v>10482</v>
      </c>
      <c r="B483" s="4">
        <v>45408</v>
      </c>
      <c r="C483" t="s">
        <v>13</v>
      </c>
      <c r="D483" t="s">
        <v>18</v>
      </c>
      <c r="E483" t="s">
        <v>32</v>
      </c>
      <c r="F483" t="s">
        <v>16</v>
      </c>
      <c r="G483">
        <v>51</v>
      </c>
      <c r="H483" t="str">
        <f t="shared" si="7"/>
        <v>45-54</v>
      </c>
      <c r="I483">
        <v>6</v>
      </c>
      <c r="J483">
        <v>11006</v>
      </c>
      <c r="K483">
        <v>0</v>
      </c>
      <c r="L483">
        <v>66036</v>
      </c>
      <c r="M483">
        <v>0</v>
      </c>
      <c r="N483">
        <v>66036</v>
      </c>
    </row>
    <row r="484" spans="1:14" x14ac:dyDescent="0.25">
      <c r="A484">
        <v>10483</v>
      </c>
      <c r="B484" s="4">
        <v>45409</v>
      </c>
      <c r="C484" t="s">
        <v>13</v>
      </c>
      <c r="D484" t="s">
        <v>22</v>
      </c>
      <c r="E484" t="s">
        <v>25</v>
      </c>
      <c r="F484" t="s">
        <v>23</v>
      </c>
      <c r="G484">
        <v>47</v>
      </c>
      <c r="H484" t="str">
        <f t="shared" si="7"/>
        <v>45-54</v>
      </c>
      <c r="I484">
        <v>6</v>
      </c>
      <c r="J484">
        <v>48773</v>
      </c>
      <c r="K484">
        <v>15</v>
      </c>
      <c r="L484">
        <v>292638</v>
      </c>
      <c r="M484">
        <v>43895.7</v>
      </c>
      <c r="N484">
        <v>248742.3</v>
      </c>
    </row>
    <row r="485" spans="1:14" x14ac:dyDescent="0.25">
      <c r="A485">
        <v>10484</v>
      </c>
      <c r="B485" s="4">
        <v>45410</v>
      </c>
      <c r="C485" t="s">
        <v>13</v>
      </c>
      <c r="D485" t="s">
        <v>14</v>
      </c>
      <c r="E485" t="s">
        <v>15</v>
      </c>
      <c r="F485" t="s">
        <v>24</v>
      </c>
      <c r="G485">
        <v>23</v>
      </c>
      <c r="H485" t="str">
        <f t="shared" si="7"/>
        <v>18-24</v>
      </c>
      <c r="I485">
        <v>3</v>
      </c>
      <c r="J485">
        <v>22071</v>
      </c>
      <c r="K485">
        <v>0</v>
      </c>
      <c r="L485">
        <v>66213</v>
      </c>
      <c r="M485">
        <v>0</v>
      </c>
      <c r="N485">
        <v>66213</v>
      </c>
    </row>
    <row r="486" spans="1:14" x14ac:dyDescent="0.25">
      <c r="A486">
        <v>10485</v>
      </c>
      <c r="B486" s="4">
        <v>45411</v>
      </c>
      <c r="C486" t="s">
        <v>21</v>
      </c>
      <c r="D486" t="s">
        <v>29</v>
      </c>
      <c r="E486" t="s">
        <v>32</v>
      </c>
      <c r="F486" t="s">
        <v>20</v>
      </c>
      <c r="G486">
        <v>43</v>
      </c>
      <c r="H486" t="str">
        <f t="shared" si="7"/>
        <v>35-44</v>
      </c>
      <c r="I486">
        <v>2</v>
      </c>
      <c r="J486">
        <v>9538</v>
      </c>
      <c r="K486">
        <v>5</v>
      </c>
      <c r="L486">
        <v>19076</v>
      </c>
      <c r="M486">
        <v>953.8</v>
      </c>
      <c r="N486">
        <v>18122.2</v>
      </c>
    </row>
    <row r="487" spans="1:14" x14ac:dyDescent="0.25">
      <c r="A487">
        <v>10486</v>
      </c>
      <c r="B487" s="4">
        <v>45412</v>
      </c>
      <c r="C487" t="s">
        <v>13</v>
      </c>
      <c r="D487" t="s">
        <v>22</v>
      </c>
      <c r="E487" t="s">
        <v>32</v>
      </c>
      <c r="F487" t="s">
        <v>20</v>
      </c>
      <c r="G487">
        <v>41</v>
      </c>
      <c r="H487" t="str">
        <f t="shared" si="7"/>
        <v>35-44</v>
      </c>
      <c r="I487">
        <v>7</v>
      </c>
      <c r="J487">
        <v>39436</v>
      </c>
      <c r="K487">
        <v>10</v>
      </c>
      <c r="L487">
        <v>276052</v>
      </c>
      <c r="M487">
        <v>27605.200000000001</v>
      </c>
      <c r="N487">
        <v>248446.8</v>
      </c>
    </row>
    <row r="488" spans="1:14" x14ac:dyDescent="0.25">
      <c r="A488">
        <v>10487</v>
      </c>
      <c r="B488" s="4">
        <v>45413</v>
      </c>
      <c r="C488" t="s">
        <v>33</v>
      </c>
      <c r="D488" t="s">
        <v>22</v>
      </c>
      <c r="E488" t="s">
        <v>19</v>
      </c>
      <c r="F488" t="s">
        <v>24</v>
      </c>
      <c r="G488">
        <v>47</v>
      </c>
      <c r="H488" t="str">
        <f t="shared" si="7"/>
        <v>45-54</v>
      </c>
      <c r="I488">
        <v>1</v>
      </c>
      <c r="J488">
        <v>37878</v>
      </c>
      <c r="K488">
        <v>20</v>
      </c>
      <c r="L488">
        <v>37878</v>
      </c>
      <c r="M488">
        <v>7575.6</v>
      </c>
      <c r="N488">
        <v>30302.400000000001</v>
      </c>
    </row>
    <row r="489" spans="1:14" x14ac:dyDescent="0.25">
      <c r="A489">
        <v>10488</v>
      </c>
      <c r="B489" s="4">
        <v>45414</v>
      </c>
      <c r="C489" t="s">
        <v>13</v>
      </c>
      <c r="D489" t="s">
        <v>22</v>
      </c>
      <c r="E489" t="s">
        <v>15</v>
      </c>
      <c r="F489" t="s">
        <v>26</v>
      </c>
      <c r="G489">
        <v>49</v>
      </c>
      <c r="H489" t="str">
        <f t="shared" si="7"/>
        <v>45-54</v>
      </c>
      <c r="I489">
        <v>5</v>
      </c>
      <c r="J489">
        <v>31986</v>
      </c>
      <c r="K489">
        <v>15</v>
      </c>
      <c r="L489">
        <v>159930</v>
      </c>
      <c r="M489">
        <v>23989.5</v>
      </c>
      <c r="N489">
        <v>135940.5</v>
      </c>
    </row>
    <row r="490" spans="1:14" x14ac:dyDescent="0.25">
      <c r="A490">
        <v>10489</v>
      </c>
      <c r="B490" s="4">
        <v>45415</v>
      </c>
      <c r="C490" t="s">
        <v>21</v>
      </c>
      <c r="D490" t="s">
        <v>14</v>
      </c>
      <c r="E490" t="s">
        <v>19</v>
      </c>
      <c r="F490" t="s">
        <v>23</v>
      </c>
      <c r="G490">
        <v>60</v>
      </c>
      <c r="H490" t="str">
        <f t="shared" si="7"/>
        <v>55+</v>
      </c>
      <c r="I490">
        <v>3</v>
      </c>
      <c r="J490">
        <v>12253</v>
      </c>
      <c r="K490">
        <v>20</v>
      </c>
      <c r="L490">
        <v>36759</v>
      </c>
      <c r="M490">
        <v>7351.8</v>
      </c>
      <c r="N490">
        <v>29407.200000000001</v>
      </c>
    </row>
    <row r="491" spans="1:14" x14ac:dyDescent="0.25">
      <c r="A491">
        <v>10490</v>
      </c>
      <c r="B491" s="4">
        <v>45416</v>
      </c>
      <c r="C491" t="s">
        <v>21</v>
      </c>
      <c r="D491" t="s">
        <v>27</v>
      </c>
      <c r="E491" t="s">
        <v>15</v>
      </c>
      <c r="F491" t="s">
        <v>26</v>
      </c>
      <c r="G491">
        <v>23</v>
      </c>
      <c r="H491" t="str">
        <f t="shared" si="7"/>
        <v>18-24</v>
      </c>
      <c r="I491">
        <v>9</v>
      </c>
      <c r="J491">
        <v>25738</v>
      </c>
      <c r="K491">
        <v>5</v>
      </c>
      <c r="L491">
        <v>231642</v>
      </c>
      <c r="M491">
        <v>11582.1</v>
      </c>
      <c r="N491">
        <v>220059.9</v>
      </c>
    </row>
    <row r="492" spans="1:14" x14ac:dyDescent="0.25">
      <c r="A492">
        <v>10491</v>
      </c>
      <c r="B492" s="4">
        <v>45417</v>
      </c>
      <c r="C492" t="s">
        <v>33</v>
      </c>
      <c r="D492" t="s">
        <v>22</v>
      </c>
      <c r="E492" t="s">
        <v>19</v>
      </c>
      <c r="F492" t="s">
        <v>28</v>
      </c>
      <c r="G492">
        <v>40</v>
      </c>
      <c r="H492" t="str">
        <f t="shared" si="7"/>
        <v>35-44</v>
      </c>
      <c r="I492">
        <v>1</v>
      </c>
      <c r="J492">
        <v>8995</v>
      </c>
      <c r="K492">
        <v>5</v>
      </c>
      <c r="L492">
        <v>8995</v>
      </c>
      <c r="M492">
        <v>449.75</v>
      </c>
      <c r="N492">
        <v>8545.25</v>
      </c>
    </row>
    <row r="493" spans="1:14" x14ac:dyDescent="0.25">
      <c r="A493">
        <v>10492</v>
      </c>
      <c r="B493" s="4">
        <v>45418</v>
      </c>
      <c r="C493" t="s">
        <v>33</v>
      </c>
      <c r="D493" t="s">
        <v>18</v>
      </c>
      <c r="E493" t="s">
        <v>32</v>
      </c>
      <c r="F493" t="s">
        <v>24</v>
      </c>
      <c r="G493">
        <v>58</v>
      </c>
      <c r="H493" t="str">
        <f t="shared" si="7"/>
        <v>55+</v>
      </c>
      <c r="I493">
        <v>8</v>
      </c>
      <c r="J493">
        <v>10858</v>
      </c>
      <c r="K493">
        <v>5</v>
      </c>
      <c r="L493">
        <v>86864</v>
      </c>
      <c r="M493">
        <v>4343.2</v>
      </c>
      <c r="N493">
        <v>82520.800000000003</v>
      </c>
    </row>
    <row r="494" spans="1:14" x14ac:dyDescent="0.25">
      <c r="A494">
        <v>10493</v>
      </c>
      <c r="B494" s="4">
        <v>45419</v>
      </c>
      <c r="C494" t="s">
        <v>17</v>
      </c>
      <c r="D494" t="s">
        <v>29</v>
      </c>
      <c r="E494" t="s">
        <v>25</v>
      </c>
      <c r="F494" t="s">
        <v>16</v>
      </c>
      <c r="G494">
        <v>59</v>
      </c>
      <c r="H494" t="str">
        <f t="shared" si="7"/>
        <v>55+</v>
      </c>
      <c r="I494">
        <v>1</v>
      </c>
      <c r="J494">
        <v>22258</v>
      </c>
      <c r="K494">
        <v>15</v>
      </c>
      <c r="L494">
        <v>22258</v>
      </c>
      <c r="M494">
        <v>3338.7</v>
      </c>
      <c r="N494">
        <v>18919.3</v>
      </c>
    </row>
    <row r="495" spans="1:14" x14ac:dyDescent="0.25">
      <c r="A495">
        <v>10494</v>
      </c>
      <c r="B495" s="4">
        <v>45420</v>
      </c>
      <c r="C495" t="s">
        <v>13</v>
      </c>
      <c r="D495" t="s">
        <v>18</v>
      </c>
      <c r="E495" t="s">
        <v>32</v>
      </c>
      <c r="F495" t="s">
        <v>31</v>
      </c>
      <c r="G495">
        <v>35</v>
      </c>
      <c r="H495" t="str">
        <f t="shared" si="7"/>
        <v>35-44</v>
      </c>
      <c r="I495">
        <v>9</v>
      </c>
      <c r="J495">
        <v>43919</v>
      </c>
      <c r="K495">
        <v>15</v>
      </c>
      <c r="L495">
        <v>395271</v>
      </c>
      <c r="M495">
        <v>59290.65</v>
      </c>
      <c r="N495">
        <v>335980.35</v>
      </c>
    </row>
    <row r="496" spans="1:14" x14ac:dyDescent="0.25">
      <c r="A496">
        <v>10495</v>
      </c>
      <c r="B496" s="4">
        <v>45421</v>
      </c>
      <c r="C496" t="s">
        <v>21</v>
      </c>
      <c r="D496" t="s">
        <v>22</v>
      </c>
      <c r="E496" t="s">
        <v>32</v>
      </c>
      <c r="F496" t="s">
        <v>28</v>
      </c>
      <c r="G496">
        <v>64</v>
      </c>
      <c r="H496" t="str">
        <f t="shared" si="7"/>
        <v>55+</v>
      </c>
      <c r="I496">
        <v>2</v>
      </c>
      <c r="J496">
        <v>42291</v>
      </c>
      <c r="K496">
        <v>0</v>
      </c>
      <c r="L496">
        <v>84582</v>
      </c>
      <c r="M496">
        <v>0</v>
      </c>
      <c r="N496">
        <v>84582</v>
      </c>
    </row>
    <row r="497" spans="1:14" x14ac:dyDescent="0.25">
      <c r="A497">
        <v>10496</v>
      </c>
      <c r="B497" s="4">
        <v>45422</v>
      </c>
      <c r="C497" t="s">
        <v>21</v>
      </c>
      <c r="D497" t="s">
        <v>27</v>
      </c>
      <c r="E497" t="s">
        <v>32</v>
      </c>
      <c r="F497" t="s">
        <v>20</v>
      </c>
      <c r="G497">
        <v>57</v>
      </c>
      <c r="H497" t="str">
        <f t="shared" si="7"/>
        <v>55+</v>
      </c>
      <c r="I497">
        <v>9</v>
      </c>
      <c r="J497">
        <v>44506</v>
      </c>
      <c r="K497">
        <v>10</v>
      </c>
      <c r="L497">
        <v>400554</v>
      </c>
      <c r="M497">
        <v>40055.4</v>
      </c>
      <c r="N497">
        <v>360498.6</v>
      </c>
    </row>
    <row r="498" spans="1:14" x14ac:dyDescent="0.25">
      <c r="A498">
        <v>10497</v>
      </c>
      <c r="B498" s="4">
        <v>45423</v>
      </c>
      <c r="C498" t="s">
        <v>21</v>
      </c>
      <c r="D498" t="s">
        <v>29</v>
      </c>
      <c r="E498" t="s">
        <v>15</v>
      </c>
      <c r="F498" t="s">
        <v>30</v>
      </c>
      <c r="G498">
        <v>37</v>
      </c>
      <c r="H498" t="str">
        <f t="shared" si="7"/>
        <v>35-44</v>
      </c>
      <c r="I498">
        <v>5</v>
      </c>
      <c r="J498">
        <v>34208</v>
      </c>
      <c r="K498">
        <v>15</v>
      </c>
      <c r="L498">
        <v>171040</v>
      </c>
      <c r="M498">
        <v>25656</v>
      </c>
      <c r="N498">
        <v>145384</v>
      </c>
    </row>
    <row r="499" spans="1:14" x14ac:dyDescent="0.25">
      <c r="A499">
        <v>10498</v>
      </c>
      <c r="B499" s="4">
        <v>45424</v>
      </c>
      <c r="C499" t="s">
        <v>33</v>
      </c>
      <c r="D499" t="s">
        <v>22</v>
      </c>
      <c r="E499" t="s">
        <v>25</v>
      </c>
      <c r="F499" t="s">
        <v>30</v>
      </c>
      <c r="G499">
        <v>33</v>
      </c>
      <c r="H499" t="str">
        <f t="shared" si="7"/>
        <v>25-34</v>
      </c>
      <c r="I499">
        <v>6</v>
      </c>
      <c r="J499">
        <v>4932</v>
      </c>
      <c r="K499">
        <v>20</v>
      </c>
      <c r="L499">
        <v>29592</v>
      </c>
      <c r="M499">
        <v>5918.4</v>
      </c>
      <c r="N499">
        <v>23673.599999999999</v>
      </c>
    </row>
    <row r="500" spans="1:14" x14ac:dyDescent="0.25">
      <c r="A500">
        <v>10499</v>
      </c>
      <c r="B500" s="4">
        <v>45425</v>
      </c>
      <c r="C500" t="s">
        <v>17</v>
      </c>
      <c r="D500" t="s">
        <v>29</v>
      </c>
      <c r="E500" t="s">
        <v>19</v>
      </c>
      <c r="F500" t="s">
        <v>30</v>
      </c>
      <c r="G500">
        <v>29</v>
      </c>
      <c r="H500" t="str">
        <f t="shared" si="7"/>
        <v>25-34</v>
      </c>
      <c r="I500">
        <v>6</v>
      </c>
      <c r="J500">
        <v>29050</v>
      </c>
      <c r="K500">
        <v>5</v>
      </c>
      <c r="L500">
        <v>174300</v>
      </c>
      <c r="M500">
        <v>8715</v>
      </c>
      <c r="N500">
        <v>165585</v>
      </c>
    </row>
    <row r="501" spans="1:14" x14ac:dyDescent="0.25">
      <c r="A501">
        <v>10500</v>
      </c>
      <c r="B501" s="4">
        <v>45426</v>
      </c>
      <c r="C501" t="s">
        <v>33</v>
      </c>
      <c r="D501" t="s">
        <v>27</v>
      </c>
      <c r="E501" t="s">
        <v>32</v>
      </c>
      <c r="F501" t="s">
        <v>28</v>
      </c>
      <c r="G501">
        <v>47</v>
      </c>
      <c r="H501" t="str">
        <f t="shared" si="7"/>
        <v>45-54</v>
      </c>
      <c r="I501">
        <v>3</v>
      </c>
      <c r="J501">
        <v>43796</v>
      </c>
      <c r="K501">
        <v>5</v>
      </c>
      <c r="L501">
        <v>131388</v>
      </c>
      <c r="M501">
        <v>6569.4</v>
      </c>
      <c r="N501">
        <v>124818.6</v>
      </c>
    </row>
    <row r="502" spans="1:14" x14ac:dyDescent="0.25">
      <c r="A502">
        <v>10501</v>
      </c>
      <c r="B502" s="4">
        <v>45427</v>
      </c>
      <c r="C502" t="s">
        <v>21</v>
      </c>
      <c r="D502" t="s">
        <v>18</v>
      </c>
      <c r="E502" t="s">
        <v>15</v>
      </c>
      <c r="F502" t="s">
        <v>31</v>
      </c>
      <c r="G502">
        <v>62</v>
      </c>
      <c r="H502" t="str">
        <f t="shared" si="7"/>
        <v>55+</v>
      </c>
      <c r="I502">
        <v>9</v>
      </c>
      <c r="J502">
        <v>35257</v>
      </c>
      <c r="K502">
        <v>15</v>
      </c>
      <c r="L502">
        <v>317313</v>
      </c>
      <c r="M502">
        <v>47596.95</v>
      </c>
      <c r="N502">
        <v>269716.05</v>
      </c>
    </row>
    <row r="503" spans="1:14" x14ac:dyDescent="0.25">
      <c r="A503">
        <v>10502</v>
      </c>
      <c r="B503" s="4">
        <v>45428</v>
      </c>
      <c r="C503" t="s">
        <v>13</v>
      </c>
      <c r="D503" t="s">
        <v>22</v>
      </c>
      <c r="E503" t="s">
        <v>25</v>
      </c>
      <c r="F503" t="s">
        <v>20</v>
      </c>
      <c r="G503">
        <v>60</v>
      </c>
      <c r="H503" t="str">
        <f t="shared" si="7"/>
        <v>55+</v>
      </c>
      <c r="I503">
        <v>3</v>
      </c>
      <c r="J503">
        <v>15787</v>
      </c>
      <c r="K503">
        <v>15</v>
      </c>
      <c r="L503">
        <v>47361</v>
      </c>
      <c r="M503">
        <v>7104.15</v>
      </c>
      <c r="N503">
        <v>40256.85</v>
      </c>
    </row>
    <row r="504" spans="1:14" x14ac:dyDescent="0.25">
      <c r="A504">
        <v>10503</v>
      </c>
      <c r="B504" s="4">
        <v>45429</v>
      </c>
      <c r="C504" t="s">
        <v>17</v>
      </c>
      <c r="D504" t="s">
        <v>29</v>
      </c>
      <c r="E504" t="s">
        <v>19</v>
      </c>
      <c r="F504" t="s">
        <v>23</v>
      </c>
      <c r="G504">
        <v>47</v>
      </c>
      <c r="H504" t="str">
        <f t="shared" si="7"/>
        <v>45-54</v>
      </c>
      <c r="I504">
        <v>2</v>
      </c>
      <c r="J504">
        <v>22495</v>
      </c>
      <c r="K504">
        <v>15</v>
      </c>
      <c r="L504">
        <v>44990</v>
      </c>
      <c r="M504">
        <v>6748.5</v>
      </c>
      <c r="N504">
        <v>38241.5</v>
      </c>
    </row>
    <row r="505" spans="1:14" x14ac:dyDescent="0.25">
      <c r="A505">
        <v>10504</v>
      </c>
      <c r="B505" s="4">
        <v>45430</v>
      </c>
      <c r="C505" t="s">
        <v>13</v>
      </c>
      <c r="D505" t="s">
        <v>14</v>
      </c>
      <c r="E505" t="s">
        <v>19</v>
      </c>
      <c r="F505" t="s">
        <v>28</v>
      </c>
      <c r="G505">
        <v>43</v>
      </c>
      <c r="H505" t="str">
        <f t="shared" si="7"/>
        <v>35-44</v>
      </c>
      <c r="I505">
        <v>3</v>
      </c>
      <c r="J505">
        <v>15427</v>
      </c>
      <c r="K505">
        <v>15</v>
      </c>
      <c r="L505">
        <v>46281</v>
      </c>
      <c r="M505">
        <v>6942.15</v>
      </c>
      <c r="N505">
        <v>39338.85</v>
      </c>
    </row>
    <row r="506" spans="1:14" x14ac:dyDescent="0.25">
      <c r="A506">
        <v>10505</v>
      </c>
      <c r="B506" s="4">
        <v>45431</v>
      </c>
      <c r="C506" t="s">
        <v>13</v>
      </c>
      <c r="D506" t="s">
        <v>27</v>
      </c>
      <c r="E506" t="s">
        <v>25</v>
      </c>
      <c r="F506" t="s">
        <v>28</v>
      </c>
      <c r="G506">
        <v>33</v>
      </c>
      <c r="H506" t="str">
        <f t="shared" si="7"/>
        <v>25-34</v>
      </c>
      <c r="I506">
        <v>6</v>
      </c>
      <c r="J506">
        <v>23433</v>
      </c>
      <c r="K506">
        <v>0</v>
      </c>
      <c r="L506">
        <v>140598</v>
      </c>
      <c r="M506">
        <v>0</v>
      </c>
      <c r="N506">
        <v>140598</v>
      </c>
    </row>
    <row r="507" spans="1:14" x14ac:dyDescent="0.25">
      <c r="A507">
        <v>10506</v>
      </c>
      <c r="B507" s="4">
        <v>45432</v>
      </c>
      <c r="C507" t="s">
        <v>33</v>
      </c>
      <c r="D507" t="s">
        <v>18</v>
      </c>
      <c r="E507" t="s">
        <v>32</v>
      </c>
      <c r="F507" t="s">
        <v>31</v>
      </c>
      <c r="G507">
        <v>54</v>
      </c>
      <c r="H507" t="str">
        <f t="shared" si="7"/>
        <v>45-54</v>
      </c>
      <c r="I507">
        <v>6</v>
      </c>
      <c r="J507">
        <v>24376</v>
      </c>
      <c r="K507">
        <v>5</v>
      </c>
      <c r="L507">
        <v>146256</v>
      </c>
      <c r="M507">
        <v>7312.8</v>
      </c>
      <c r="N507">
        <v>138943.20000000001</v>
      </c>
    </row>
    <row r="508" spans="1:14" x14ac:dyDescent="0.25">
      <c r="A508">
        <v>10507</v>
      </c>
      <c r="B508" s="4">
        <v>45433</v>
      </c>
      <c r="C508" t="s">
        <v>13</v>
      </c>
      <c r="D508" t="s">
        <v>14</v>
      </c>
      <c r="E508" t="s">
        <v>25</v>
      </c>
      <c r="F508" t="s">
        <v>20</v>
      </c>
      <c r="G508">
        <v>22</v>
      </c>
      <c r="H508" t="str">
        <f t="shared" si="7"/>
        <v>18-24</v>
      </c>
      <c r="I508">
        <v>1</v>
      </c>
      <c r="J508">
        <v>21589</v>
      </c>
      <c r="K508">
        <v>20</v>
      </c>
      <c r="L508">
        <v>21589</v>
      </c>
      <c r="M508">
        <v>4317.8</v>
      </c>
      <c r="N508">
        <v>17271.2</v>
      </c>
    </row>
    <row r="509" spans="1:14" x14ac:dyDescent="0.25">
      <c r="A509">
        <v>10508</v>
      </c>
      <c r="B509" s="4">
        <v>45434</v>
      </c>
      <c r="C509" t="s">
        <v>13</v>
      </c>
      <c r="D509" t="s">
        <v>27</v>
      </c>
      <c r="E509" t="s">
        <v>32</v>
      </c>
      <c r="F509" t="s">
        <v>20</v>
      </c>
      <c r="G509">
        <v>36</v>
      </c>
      <c r="H509" t="str">
        <f t="shared" si="7"/>
        <v>35-44</v>
      </c>
      <c r="I509">
        <v>5</v>
      </c>
      <c r="J509">
        <v>29136</v>
      </c>
      <c r="K509">
        <v>15</v>
      </c>
      <c r="L509">
        <v>145680</v>
      </c>
      <c r="M509">
        <v>21852</v>
      </c>
      <c r="N509">
        <v>123828</v>
      </c>
    </row>
    <row r="510" spans="1:14" x14ac:dyDescent="0.25">
      <c r="A510">
        <v>10509</v>
      </c>
      <c r="B510" s="4">
        <v>45435</v>
      </c>
      <c r="C510" t="s">
        <v>21</v>
      </c>
      <c r="D510" t="s">
        <v>29</v>
      </c>
      <c r="E510" t="s">
        <v>25</v>
      </c>
      <c r="F510" t="s">
        <v>20</v>
      </c>
      <c r="G510">
        <v>48</v>
      </c>
      <c r="H510" t="str">
        <f t="shared" si="7"/>
        <v>45-54</v>
      </c>
      <c r="I510">
        <v>9</v>
      </c>
      <c r="J510">
        <v>40764</v>
      </c>
      <c r="K510">
        <v>20</v>
      </c>
      <c r="L510">
        <v>366876</v>
      </c>
      <c r="M510">
        <v>73375.199999999997</v>
      </c>
      <c r="N510">
        <v>293500.79999999999</v>
      </c>
    </row>
    <row r="511" spans="1:14" x14ac:dyDescent="0.25">
      <c r="A511">
        <v>10510</v>
      </c>
      <c r="B511" s="4">
        <v>45436</v>
      </c>
      <c r="C511" t="s">
        <v>13</v>
      </c>
      <c r="D511" t="s">
        <v>22</v>
      </c>
      <c r="E511" t="s">
        <v>25</v>
      </c>
      <c r="F511" t="s">
        <v>20</v>
      </c>
      <c r="G511">
        <v>29</v>
      </c>
      <c r="H511" t="str">
        <f t="shared" si="7"/>
        <v>25-34</v>
      </c>
      <c r="I511">
        <v>4</v>
      </c>
      <c r="J511">
        <v>17617</v>
      </c>
      <c r="K511">
        <v>15</v>
      </c>
      <c r="L511">
        <v>70468</v>
      </c>
      <c r="M511">
        <v>10570.2</v>
      </c>
      <c r="N511">
        <v>59897.8</v>
      </c>
    </row>
    <row r="512" spans="1:14" x14ac:dyDescent="0.25">
      <c r="A512">
        <v>10511</v>
      </c>
      <c r="B512" s="4">
        <v>45437</v>
      </c>
      <c r="C512" t="s">
        <v>33</v>
      </c>
      <c r="D512" t="s">
        <v>29</v>
      </c>
      <c r="E512" t="s">
        <v>25</v>
      </c>
      <c r="F512" t="s">
        <v>24</v>
      </c>
      <c r="G512">
        <v>60</v>
      </c>
      <c r="H512" t="str">
        <f t="shared" si="7"/>
        <v>55+</v>
      </c>
      <c r="I512">
        <v>4</v>
      </c>
      <c r="J512">
        <v>23160</v>
      </c>
      <c r="K512">
        <v>20</v>
      </c>
      <c r="L512">
        <v>92640</v>
      </c>
      <c r="M512">
        <v>18528</v>
      </c>
      <c r="N512">
        <v>74112</v>
      </c>
    </row>
    <row r="513" spans="1:14" x14ac:dyDescent="0.25">
      <c r="A513">
        <v>10512</v>
      </c>
      <c r="B513" s="4">
        <v>45438</v>
      </c>
      <c r="C513" t="s">
        <v>21</v>
      </c>
      <c r="D513" t="s">
        <v>14</v>
      </c>
      <c r="E513" t="s">
        <v>25</v>
      </c>
      <c r="F513" t="s">
        <v>26</v>
      </c>
      <c r="G513">
        <v>40</v>
      </c>
      <c r="H513" t="str">
        <f t="shared" si="7"/>
        <v>35-44</v>
      </c>
      <c r="I513">
        <v>2</v>
      </c>
      <c r="J513">
        <v>44004</v>
      </c>
      <c r="K513">
        <v>15</v>
      </c>
      <c r="L513">
        <v>88008</v>
      </c>
      <c r="M513">
        <v>13201.2</v>
      </c>
      <c r="N513">
        <v>74806.8</v>
      </c>
    </row>
    <row r="514" spans="1:14" x14ac:dyDescent="0.25">
      <c r="A514">
        <v>10513</v>
      </c>
      <c r="B514" s="4">
        <v>45439</v>
      </c>
      <c r="C514" t="s">
        <v>17</v>
      </c>
      <c r="D514" t="s">
        <v>27</v>
      </c>
      <c r="E514" t="s">
        <v>19</v>
      </c>
      <c r="F514" t="s">
        <v>31</v>
      </c>
      <c r="G514">
        <v>38</v>
      </c>
      <c r="H514" t="str">
        <f t="shared" si="7"/>
        <v>35-44</v>
      </c>
      <c r="I514">
        <v>4</v>
      </c>
      <c r="J514">
        <v>28146</v>
      </c>
      <c r="K514">
        <v>5</v>
      </c>
      <c r="L514">
        <v>112584</v>
      </c>
      <c r="M514">
        <v>5629.2</v>
      </c>
      <c r="N514">
        <v>106954.8</v>
      </c>
    </row>
    <row r="515" spans="1:14" x14ac:dyDescent="0.25">
      <c r="A515">
        <v>10514</v>
      </c>
      <c r="B515" s="4">
        <v>45440</v>
      </c>
      <c r="C515" t="s">
        <v>21</v>
      </c>
      <c r="D515" t="s">
        <v>14</v>
      </c>
      <c r="E515" t="s">
        <v>15</v>
      </c>
      <c r="F515" t="s">
        <v>31</v>
      </c>
      <c r="G515">
        <v>46</v>
      </c>
      <c r="H515" t="str">
        <f t="shared" ref="H515:H578" si="8">IF(G515&lt;25,"18-24",IF(G515&lt;35,"25-34",IF(G515&lt;45,"35-44",IF(G515&lt;55,"45-54","55+"))))</f>
        <v>45-54</v>
      </c>
      <c r="I515">
        <v>7</v>
      </c>
      <c r="J515">
        <v>46032</v>
      </c>
      <c r="K515">
        <v>5</v>
      </c>
      <c r="L515">
        <v>322224</v>
      </c>
      <c r="M515">
        <v>16111.2</v>
      </c>
      <c r="N515">
        <v>306112.8</v>
      </c>
    </row>
    <row r="516" spans="1:14" x14ac:dyDescent="0.25">
      <c r="A516">
        <v>10515</v>
      </c>
      <c r="B516" s="4">
        <v>45441</v>
      </c>
      <c r="C516" t="s">
        <v>21</v>
      </c>
      <c r="D516" t="s">
        <v>18</v>
      </c>
      <c r="E516" t="s">
        <v>32</v>
      </c>
      <c r="F516" t="s">
        <v>30</v>
      </c>
      <c r="G516">
        <v>50</v>
      </c>
      <c r="H516" t="str">
        <f t="shared" si="8"/>
        <v>45-54</v>
      </c>
      <c r="I516">
        <v>6</v>
      </c>
      <c r="J516">
        <v>23105</v>
      </c>
      <c r="K516">
        <v>5</v>
      </c>
      <c r="L516">
        <v>138630</v>
      </c>
      <c r="M516">
        <v>6931.5</v>
      </c>
      <c r="N516">
        <v>131698.5</v>
      </c>
    </row>
    <row r="517" spans="1:14" x14ac:dyDescent="0.25">
      <c r="A517">
        <v>10516</v>
      </c>
      <c r="B517" s="4">
        <v>45442</v>
      </c>
      <c r="C517" t="s">
        <v>33</v>
      </c>
      <c r="D517" t="s">
        <v>18</v>
      </c>
      <c r="E517" t="s">
        <v>32</v>
      </c>
      <c r="F517" t="s">
        <v>23</v>
      </c>
      <c r="G517">
        <v>40</v>
      </c>
      <c r="H517" t="str">
        <f t="shared" si="8"/>
        <v>35-44</v>
      </c>
      <c r="I517">
        <v>1</v>
      </c>
      <c r="J517">
        <v>48254</v>
      </c>
      <c r="K517">
        <v>0</v>
      </c>
      <c r="L517">
        <v>48254</v>
      </c>
      <c r="M517">
        <v>0</v>
      </c>
      <c r="N517">
        <v>48254</v>
      </c>
    </row>
    <row r="518" spans="1:14" x14ac:dyDescent="0.25">
      <c r="A518">
        <v>10517</v>
      </c>
      <c r="B518" s="4">
        <v>45443</v>
      </c>
      <c r="C518" t="s">
        <v>17</v>
      </c>
      <c r="D518" t="s">
        <v>29</v>
      </c>
      <c r="E518" t="s">
        <v>32</v>
      </c>
      <c r="F518" t="s">
        <v>31</v>
      </c>
      <c r="G518">
        <v>22</v>
      </c>
      <c r="H518" t="str">
        <f t="shared" si="8"/>
        <v>18-24</v>
      </c>
      <c r="I518">
        <v>1</v>
      </c>
      <c r="J518">
        <v>23339</v>
      </c>
      <c r="K518">
        <v>15</v>
      </c>
      <c r="L518">
        <v>23339</v>
      </c>
      <c r="M518">
        <v>3500.85</v>
      </c>
      <c r="N518">
        <v>19838.150000000001</v>
      </c>
    </row>
    <row r="519" spans="1:14" x14ac:dyDescent="0.25">
      <c r="A519">
        <v>10518</v>
      </c>
      <c r="B519" s="4">
        <v>45444</v>
      </c>
      <c r="C519" t="s">
        <v>13</v>
      </c>
      <c r="D519" t="s">
        <v>18</v>
      </c>
      <c r="E519" t="s">
        <v>32</v>
      </c>
      <c r="F519" t="s">
        <v>30</v>
      </c>
      <c r="G519">
        <v>20</v>
      </c>
      <c r="H519" t="str">
        <f t="shared" si="8"/>
        <v>18-24</v>
      </c>
      <c r="I519">
        <v>4</v>
      </c>
      <c r="J519">
        <v>15691</v>
      </c>
      <c r="K519">
        <v>10</v>
      </c>
      <c r="L519">
        <v>62764</v>
      </c>
      <c r="M519">
        <v>6276.4</v>
      </c>
      <c r="N519">
        <v>56487.6</v>
      </c>
    </row>
    <row r="520" spans="1:14" x14ac:dyDescent="0.25">
      <c r="A520">
        <v>10519</v>
      </c>
      <c r="B520" s="4">
        <v>45445</v>
      </c>
      <c r="C520" t="s">
        <v>13</v>
      </c>
      <c r="D520" t="s">
        <v>27</v>
      </c>
      <c r="E520" t="s">
        <v>25</v>
      </c>
      <c r="F520" t="s">
        <v>20</v>
      </c>
      <c r="G520">
        <v>40</v>
      </c>
      <c r="H520" t="str">
        <f t="shared" si="8"/>
        <v>35-44</v>
      </c>
      <c r="I520">
        <v>6</v>
      </c>
      <c r="J520">
        <v>45143</v>
      </c>
      <c r="K520">
        <v>15</v>
      </c>
      <c r="L520">
        <v>270858</v>
      </c>
      <c r="M520">
        <v>40628.699999999997</v>
      </c>
      <c r="N520">
        <v>230229.3</v>
      </c>
    </row>
    <row r="521" spans="1:14" x14ac:dyDescent="0.25">
      <c r="A521">
        <v>10520</v>
      </c>
      <c r="B521" s="4">
        <v>45446</v>
      </c>
      <c r="C521" t="s">
        <v>13</v>
      </c>
      <c r="D521" t="s">
        <v>27</v>
      </c>
      <c r="E521" t="s">
        <v>19</v>
      </c>
      <c r="F521" t="s">
        <v>16</v>
      </c>
      <c r="G521">
        <v>20</v>
      </c>
      <c r="H521" t="str">
        <f t="shared" si="8"/>
        <v>18-24</v>
      </c>
      <c r="I521">
        <v>1</v>
      </c>
      <c r="J521">
        <v>45778</v>
      </c>
      <c r="K521">
        <v>10</v>
      </c>
      <c r="L521">
        <v>45778</v>
      </c>
      <c r="M521">
        <v>4577.8</v>
      </c>
      <c r="N521">
        <v>41200.199999999997</v>
      </c>
    </row>
    <row r="522" spans="1:14" x14ac:dyDescent="0.25">
      <c r="A522">
        <v>10521</v>
      </c>
      <c r="B522" s="4">
        <v>45447</v>
      </c>
      <c r="C522" t="s">
        <v>21</v>
      </c>
      <c r="D522" t="s">
        <v>27</v>
      </c>
      <c r="E522" t="s">
        <v>15</v>
      </c>
      <c r="F522" t="s">
        <v>24</v>
      </c>
      <c r="G522">
        <v>27</v>
      </c>
      <c r="H522" t="str">
        <f t="shared" si="8"/>
        <v>25-34</v>
      </c>
      <c r="I522">
        <v>6</v>
      </c>
      <c r="J522">
        <v>9086</v>
      </c>
      <c r="K522">
        <v>20</v>
      </c>
      <c r="L522">
        <v>54516</v>
      </c>
      <c r="M522">
        <v>10903.2</v>
      </c>
      <c r="N522">
        <v>43612.800000000003</v>
      </c>
    </row>
    <row r="523" spans="1:14" x14ac:dyDescent="0.25">
      <c r="A523">
        <v>10522</v>
      </c>
      <c r="B523" s="4">
        <v>45448</v>
      </c>
      <c r="C523" t="s">
        <v>21</v>
      </c>
      <c r="D523" t="s">
        <v>14</v>
      </c>
      <c r="E523" t="s">
        <v>25</v>
      </c>
      <c r="F523" t="s">
        <v>23</v>
      </c>
      <c r="G523">
        <v>19</v>
      </c>
      <c r="H523" t="str">
        <f t="shared" si="8"/>
        <v>18-24</v>
      </c>
      <c r="I523">
        <v>9</v>
      </c>
      <c r="J523">
        <v>16326</v>
      </c>
      <c r="K523">
        <v>5</v>
      </c>
      <c r="L523">
        <v>146934</v>
      </c>
      <c r="M523">
        <v>7346.7</v>
      </c>
      <c r="N523">
        <v>139587.29999999999</v>
      </c>
    </row>
    <row r="524" spans="1:14" x14ac:dyDescent="0.25">
      <c r="A524">
        <v>10523</v>
      </c>
      <c r="B524" s="4">
        <v>45449</v>
      </c>
      <c r="C524" t="s">
        <v>21</v>
      </c>
      <c r="D524" t="s">
        <v>22</v>
      </c>
      <c r="E524" t="s">
        <v>15</v>
      </c>
      <c r="F524" t="s">
        <v>20</v>
      </c>
      <c r="G524">
        <v>51</v>
      </c>
      <c r="H524" t="str">
        <f t="shared" si="8"/>
        <v>45-54</v>
      </c>
      <c r="I524">
        <v>1</v>
      </c>
      <c r="J524">
        <v>43815</v>
      </c>
      <c r="K524">
        <v>15</v>
      </c>
      <c r="L524">
        <v>43815</v>
      </c>
      <c r="M524">
        <v>6572.25</v>
      </c>
      <c r="N524">
        <v>37242.75</v>
      </c>
    </row>
    <row r="525" spans="1:14" x14ac:dyDescent="0.25">
      <c r="A525">
        <v>10524</v>
      </c>
      <c r="B525" s="4">
        <v>45450</v>
      </c>
      <c r="C525" t="s">
        <v>33</v>
      </c>
      <c r="D525" t="s">
        <v>22</v>
      </c>
      <c r="E525" t="s">
        <v>19</v>
      </c>
      <c r="F525" t="s">
        <v>30</v>
      </c>
      <c r="G525">
        <v>34</v>
      </c>
      <c r="H525" t="str">
        <f t="shared" si="8"/>
        <v>25-34</v>
      </c>
      <c r="I525">
        <v>4</v>
      </c>
      <c r="J525">
        <v>15475</v>
      </c>
      <c r="K525">
        <v>20</v>
      </c>
      <c r="L525">
        <v>61900</v>
      </c>
      <c r="M525">
        <v>12380</v>
      </c>
      <c r="N525">
        <v>49520</v>
      </c>
    </row>
    <row r="526" spans="1:14" x14ac:dyDescent="0.25">
      <c r="A526">
        <v>10525</v>
      </c>
      <c r="B526" s="4">
        <v>45451</v>
      </c>
      <c r="C526" t="s">
        <v>13</v>
      </c>
      <c r="D526" t="s">
        <v>27</v>
      </c>
      <c r="E526" t="s">
        <v>15</v>
      </c>
      <c r="F526" t="s">
        <v>23</v>
      </c>
      <c r="G526">
        <v>25</v>
      </c>
      <c r="H526" t="str">
        <f t="shared" si="8"/>
        <v>25-34</v>
      </c>
      <c r="I526">
        <v>8</v>
      </c>
      <c r="J526">
        <v>45105</v>
      </c>
      <c r="K526">
        <v>20</v>
      </c>
      <c r="L526">
        <v>360840</v>
      </c>
      <c r="M526">
        <v>72168</v>
      </c>
      <c r="N526">
        <v>288672</v>
      </c>
    </row>
    <row r="527" spans="1:14" x14ac:dyDescent="0.25">
      <c r="A527">
        <v>10526</v>
      </c>
      <c r="B527" s="4">
        <v>45452</v>
      </c>
      <c r="C527" t="s">
        <v>33</v>
      </c>
      <c r="D527" t="s">
        <v>22</v>
      </c>
      <c r="E527" t="s">
        <v>15</v>
      </c>
      <c r="F527" t="s">
        <v>16</v>
      </c>
      <c r="G527">
        <v>23</v>
      </c>
      <c r="H527" t="str">
        <f t="shared" si="8"/>
        <v>18-24</v>
      </c>
      <c r="I527">
        <v>6</v>
      </c>
      <c r="J527">
        <v>41566</v>
      </c>
      <c r="K527">
        <v>5</v>
      </c>
      <c r="L527">
        <v>249396</v>
      </c>
      <c r="M527">
        <v>12469.8</v>
      </c>
      <c r="N527">
        <v>236926.2</v>
      </c>
    </row>
    <row r="528" spans="1:14" x14ac:dyDescent="0.25">
      <c r="A528">
        <v>10527</v>
      </c>
      <c r="B528" s="4">
        <v>45453</v>
      </c>
      <c r="C528" t="s">
        <v>17</v>
      </c>
      <c r="D528" t="s">
        <v>14</v>
      </c>
      <c r="E528" t="s">
        <v>25</v>
      </c>
      <c r="F528" t="s">
        <v>16</v>
      </c>
      <c r="G528">
        <v>23</v>
      </c>
      <c r="H528" t="str">
        <f t="shared" si="8"/>
        <v>18-24</v>
      </c>
      <c r="I528">
        <v>5</v>
      </c>
      <c r="J528">
        <v>6229</v>
      </c>
      <c r="K528">
        <v>15</v>
      </c>
      <c r="L528">
        <v>31145</v>
      </c>
      <c r="M528">
        <v>4671.75</v>
      </c>
      <c r="N528">
        <v>26473.25</v>
      </c>
    </row>
    <row r="529" spans="1:14" x14ac:dyDescent="0.25">
      <c r="A529">
        <v>10528</v>
      </c>
      <c r="B529" s="4">
        <v>45454</v>
      </c>
      <c r="C529" t="s">
        <v>17</v>
      </c>
      <c r="D529" t="s">
        <v>22</v>
      </c>
      <c r="E529" t="s">
        <v>19</v>
      </c>
      <c r="F529" t="s">
        <v>20</v>
      </c>
      <c r="G529">
        <v>55</v>
      </c>
      <c r="H529" t="str">
        <f t="shared" si="8"/>
        <v>55+</v>
      </c>
      <c r="I529">
        <v>5</v>
      </c>
      <c r="J529">
        <v>5500</v>
      </c>
      <c r="K529">
        <v>10</v>
      </c>
      <c r="L529">
        <v>27500</v>
      </c>
      <c r="M529">
        <v>2750</v>
      </c>
      <c r="N529">
        <v>24750</v>
      </c>
    </row>
    <row r="530" spans="1:14" x14ac:dyDescent="0.25">
      <c r="A530">
        <v>10529</v>
      </c>
      <c r="B530" s="4">
        <v>45455</v>
      </c>
      <c r="C530" t="s">
        <v>33</v>
      </c>
      <c r="D530" t="s">
        <v>29</v>
      </c>
      <c r="E530" t="s">
        <v>25</v>
      </c>
      <c r="F530" t="s">
        <v>24</v>
      </c>
      <c r="G530">
        <v>60</v>
      </c>
      <c r="H530" t="str">
        <f t="shared" si="8"/>
        <v>55+</v>
      </c>
      <c r="I530">
        <v>8</v>
      </c>
      <c r="J530">
        <v>35710</v>
      </c>
      <c r="K530">
        <v>20</v>
      </c>
      <c r="L530">
        <v>285680</v>
      </c>
      <c r="M530">
        <v>57136</v>
      </c>
      <c r="N530">
        <v>228544</v>
      </c>
    </row>
    <row r="531" spans="1:14" x14ac:dyDescent="0.25">
      <c r="A531">
        <v>10530</v>
      </c>
      <c r="B531" s="4">
        <v>45456</v>
      </c>
      <c r="C531" t="s">
        <v>21</v>
      </c>
      <c r="D531" t="s">
        <v>29</v>
      </c>
      <c r="E531" t="s">
        <v>19</v>
      </c>
      <c r="F531" t="s">
        <v>26</v>
      </c>
      <c r="G531">
        <v>33</v>
      </c>
      <c r="H531" t="str">
        <f t="shared" si="8"/>
        <v>25-34</v>
      </c>
      <c r="I531">
        <v>4</v>
      </c>
      <c r="J531">
        <v>21020</v>
      </c>
      <c r="K531">
        <v>20</v>
      </c>
      <c r="L531">
        <v>84080</v>
      </c>
      <c r="M531">
        <v>16816</v>
      </c>
      <c r="N531">
        <v>67264</v>
      </c>
    </row>
    <row r="532" spans="1:14" x14ac:dyDescent="0.25">
      <c r="A532">
        <v>10531</v>
      </c>
      <c r="B532" s="4">
        <v>45457</v>
      </c>
      <c r="C532" t="s">
        <v>13</v>
      </c>
      <c r="D532" t="s">
        <v>27</v>
      </c>
      <c r="E532" t="s">
        <v>32</v>
      </c>
      <c r="F532" t="s">
        <v>31</v>
      </c>
      <c r="G532">
        <v>53</v>
      </c>
      <c r="H532" t="str">
        <f t="shared" si="8"/>
        <v>45-54</v>
      </c>
      <c r="I532">
        <v>6</v>
      </c>
      <c r="J532">
        <v>38605</v>
      </c>
      <c r="K532">
        <v>5</v>
      </c>
      <c r="L532">
        <v>231630</v>
      </c>
      <c r="M532">
        <v>11581.5</v>
      </c>
      <c r="N532">
        <v>220048.5</v>
      </c>
    </row>
    <row r="533" spans="1:14" x14ac:dyDescent="0.25">
      <c r="A533">
        <v>10532</v>
      </c>
      <c r="B533" s="4">
        <v>45458</v>
      </c>
      <c r="C533" t="s">
        <v>17</v>
      </c>
      <c r="D533" t="s">
        <v>27</v>
      </c>
      <c r="E533" t="s">
        <v>32</v>
      </c>
      <c r="F533" t="s">
        <v>24</v>
      </c>
      <c r="G533">
        <v>64</v>
      </c>
      <c r="H533" t="str">
        <f t="shared" si="8"/>
        <v>55+</v>
      </c>
      <c r="I533">
        <v>2</v>
      </c>
      <c r="J533">
        <v>16970</v>
      </c>
      <c r="K533">
        <v>20</v>
      </c>
      <c r="L533">
        <v>33940</v>
      </c>
      <c r="M533">
        <v>6788</v>
      </c>
      <c r="N533">
        <v>27152</v>
      </c>
    </row>
    <row r="534" spans="1:14" x14ac:dyDescent="0.25">
      <c r="A534">
        <v>10533</v>
      </c>
      <c r="B534" s="4">
        <v>45459</v>
      </c>
      <c r="C534" t="s">
        <v>21</v>
      </c>
      <c r="D534" t="s">
        <v>14</v>
      </c>
      <c r="E534" t="s">
        <v>19</v>
      </c>
      <c r="F534" t="s">
        <v>30</v>
      </c>
      <c r="G534">
        <v>35</v>
      </c>
      <c r="H534" t="str">
        <f t="shared" si="8"/>
        <v>35-44</v>
      </c>
      <c r="I534">
        <v>6</v>
      </c>
      <c r="J534">
        <v>2634</v>
      </c>
      <c r="K534">
        <v>10</v>
      </c>
      <c r="L534">
        <v>15804</v>
      </c>
      <c r="M534">
        <v>1580.4</v>
      </c>
      <c r="N534">
        <v>14223.6</v>
      </c>
    </row>
    <row r="535" spans="1:14" x14ac:dyDescent="0.25">
      <c r="A535">
        <v>10534</v>
      </c>
      <c r="B535" s="4">
        <v>45460</v>
      </c>
      <c r="C535" t="s">
        <v>17</v>
      </c>
      <c r="D535" t="s">
        <v>27</v>
      </c>
      <c r="E535" t="s">
        <v>25</v>
      </c>
      <c r="F535" t="s">
        <v>28</v>
      </c>
      <c r="G535">
        <v>41</v>
      </c>
      <c r="H535" t="str">
        <f t="shared" si="8"/>
        <v>35-44</v>
      </c>
      <c r="I535">
        <v>1</v>
      </c>
      <c r="J535">
        <v>31185</v>
      </c>
      <c r="K535">
        <v>20</v>
      </c>
      <c r="L535">
        <v>31185</v>
      </c>
      <c r="M535">
        <v>6237</v>
      </c>
      <c r="N535">
        <v>24948</v>
      </c>
    </row>
    <row r="536" spans="1:14" x14ac:dyDescent="0.25">
      <c r="A536">
        <v>10535</v>
      </c>
      <c r="B536" s="4">
        <v>45461</v>
      </c>
      <c r="C536" t="s">
        <v>13</v>
      </c>
      <c r="D536" t="s">
        <v>29</v>
      </c>
      <c r="E536" t="s">
        <v>19</v>
      </c>
      <c r="F536" t="s">
        <v>30</v>
      </c>
      <c r="G536">
        <v>38</v>
      </c>
      <c r="H536" t="str">
        <f t="shared" si="8"/>
        <v>35-44</v>
      </c>
      <c r="I536">
        <v>8</v>
      </c>
      <c r="J536">
        <v>38322</v>
      </c>
      <c r="K536">
        <v>15</v>
      </c>
      <c r="L536">
        <v>306576</v>
      </c>
      <c r="M536">
        <v>45986.400000000001</v>
      </c>
      <c r="N536">
        <v>260589.6</v>
      </c>
    </row>
    <row r="537" spans="1:14" x14ac:dyDescent="0.25">
      <c r="A537">
        <v>10536</v>
      </c>
      <c r="B537" s="4">
        <v>45462</v>
      </c>
      <c r="C537" t="s">
        <v>33</v>
      </c>
      <c r="D537" t="s">
        <v>27</v>
      </c>
      <c r="E537" t="s">
        <v>25</v>
      </c>
      <c r="F537" t="s">
        <v>16</v>
      </c>
      <c r="G537">
        <v>22</v>
      </c>
      <c r="H537" t="str">
        <f t="shared" si="8"/>
        <v>18-24</v>
      </c>
      <c r="I537">
        <v>7</v>
      </c>
      <c r="J537">
        <v>24421</v>
      </c>
      <c r="K537">
        <v>10</v>
      </c>
      <c r="L537">
        <v>170947</v>
      </c>
      <c r="M537">
        <v>17094.7</v>
      </c>
      <c r="N537">
        <v>153852.29999999999</v>
      </c>
    </row>
    <row r="538" spans="1:14" x14ac:dyDescent="0.25">
      <c r="A538">
        <v>10537</v>
      </c>
      <c r="B538" s="4">
        <v>45463</v>
      </c>
      <c r="C538" t="s">
        <v>33</v>
      </c>
      <c r="D538" t="s">
        <v>27</v>
      </c>
      <c r="E538" t="s">
        <v>32</v>
      </c>
      <c r="F538" t="s">
        <v>16</v>
      </c>
      <c r="G538">
        <v>41</v>
      </c>
      <c r="H538" t="str">
        <f t="shared" si="8"/>
        <v>35-44</v>
      </c>
      <c r="I538">
        <v>3</v>
      </c>
      <c r="J538">
        <v>9420</v>
      </c>
      <c r="K538">
        <v>20</v>
      </c>
      <c r="L538">
        <v>28260</v>
      </c>
      <c r="M538">
        <v>5652</v>
      </c>
      <c r="N538">
        <v>22608</v>
      </c>
    </row>
    <row r="539" spans="1:14" x14ac:dyDescent="0.25">
      <c r="A539">
        <v>10538</v>
      </c>
      <c r="B539" s="4">
        <v>45464</v>
      </c>
      <c r="C539" t="s">
        <v>21</v>
      </c>
      <c r="D539" t="s">
        <v>29</v>
      </c>
      <c r="E539" t="s">
        <v>19</v>
      </c>
      <c r="F539" t="s">
        <v>26</v>
      </c>
      <c r="G539">
        <v>43</v>
      </c>
      <c r="H539" t="str">
        <f t="shared" si="8"/>
        <v>35-44</v>
      </c>
      <c r="I539">
        <v>9</v>
      </c>
      <c r="J539">
        <v>21170</v>
      </c>
      <c r="K539">
        <v>10</v>
      </c>
      <c r="L539">
        <v>190530</v>
      </c>
      <c r="M539">
        <v>19053</v>
      </c>
      <c r="N539">
        <v>171477</v>
      </c>
    </row>
    <row r="540" spans="1:14" x14ac:dyDescent="0.25">
      <c r="A540">
        <v>10539</v>
      </c>
      <c r="B540" s="4">
        <v>45465</v>
      </c>
      <c r="C540" t="s">
        <v>33</v>
      </c>
      <c r="D540" t="s">
        <v>18</v>
      </c>
      <c r="E540" t="s">
        <v>15</v>
      </c>
      <c r="F540" t="s">
        <v>23</v>
      </c>
      <c r="G540">
        <v>64</v>
      </c>
      <c r="H540" t="str">
        <f t="shared" si="8"/>
        <v>55+</v>
      </c>
      <c r="I540">
        <v>6</v>
      </c>
      <c r="J540">
        <v>9700</v>
      </c>
      <c r="K540">
        <v>0</v>
      </c>
      <c r="L540">
        <v>58200</v>
      </c>
      <c r="M540">
        <v>0</v>
      </c>
      <c r="N540">
        <v>58200</v>
      </c>
    </row>
    <row r="541" spans="1:14" x14ac:dyDescent="0.25">
      <c r="A541">
        <v>10540</v>
      </c>
      <c r="B541" s="4">
        <v>45466</v>
      </c>
      <c r="C541" t="s">
        <v>17</v>
      </c>
      <c r="D541" t="s">
        <v>29</v>
      </c>
      <c r="E541" t="s">
        <v>25</v>
      </c>
      <c r="F541" t="s">
        <v>23</v>
      </c>
      <c r="G541">
        <v>49</v>
      </c>
      <c r="H541" t="str">
        <f t="shared" si="8"/>
        <v>45-54</v>
      </c>
      <c r="I541">
        <v>6</v>
      </c>
      <c r="J541">
        <v>17952</v>
      </c>
      <c r="K541">
        <v>20</v>
      </c>
      <c r="L541">
        <v>107712</v>
      </c>
      <c r="M541">
        <v>21542.400000000001</v>
      </c>
      <c r="N541">
        <v>86169.600000000006</v>
      </c>
    </row>
    <row r="542" spans="1:14" x14ac:dyDescent="0.25">
      <c r="A542">
        <v>10541</v>
      </c>
      <c r="B542" s="4">
        <v>45467</v>
      </c>
      <c r="C542" t="s">
        <v>33</v>
      </c>
      <c r="D542" t="s">
        <v>18</v>
      </c>
      <c r="E542" t="s">
        <v>15</v>
      </c>
      <c r="F542" t="s">
        <v>16</v>
      </c>
      <c r="G542">
        <v>43</v>
      </c>
      <c r="H542" t="str">
        <f t="shared" si="8"/>
        <v>35-44</v>
      </c>
      <c r="I542">
        <v>4</v>
      </c>
      <c r="J542">
        <v>15534</v>
      </c>
      <c r="K542">
        <v>10</v>
      </c>
      <c r="L542">
        <v>62136</v>
      </c>
      <c r="M542">
        <v>6213.6</v>
      </c>
      <c r="N542">
        <v>55922.400000000001</v>
      </c>
    </row>
    <row r="543" spans="1:14" x14ac:dyDescent="0.25">
      <c r="A543">
        <v>10542</v>
      </c>
      <c r="B543" s="4">
        <v>45468</v>
      </c>
      <c r="C543" t="s">
        <v>33</v>
      </c>
      <c r="D543" t="s">
        <v>18</v>
      </c>
      <c r="E543" t="s">
        <v>15</v>
      </c>
      <c r="F543" t="s">
        <v>23</v>
      </c>
      <c r="G543">
        <v>36</v>
      </c>
      <c r="H543" t="str">
        <f t="shared" si="8"/>
        <v>35-44</v>
      </c>
      <c r="I543">
        <v>4</v>
      </c>
      <c r="J543">
        <v>21400</v>
      </c>
      <c r="K543">
        <v>0</v>
      </c>
      <c r="L543">
        <v>85600</v>
      </c>
      <c r="M543">
        <v>0</v>
      </c>
      <c r="N543">
        <v>85600</v>
      </c>
    </row>
    <row r="544" spans="1:14" x14ac:dyDescent="0.25">
      <c r="A544">
        <v>10543</v>
      </c>
      <c r="B544" s="4">
        <v>45469</v>
      </c>
      <c r="C544" t="s">
        <v>33</v>
      </c>
      <c r="D544" t="s">
        <v>18</v>
      </c>
      <c r="E544" t="s">
        <v>32</v>
      </c>
      <c r="F544" t="s">
        <v>28</v>
      </c>
      <c r="G544">
        <v>29</v>
      </c>
      <c r="H544" t="str">
        <f t="shared" si="8"/>
        <v>25-34</v>
      </c>
      <c r="I544">
        <v>7</v>
      </c>
      <c r="J544">
        <v>22203</v>
      </c>
      <c r="K544">
        <v>0</v>
      </c>
      <c r="L544">
        <v>155421</v>
      </c>
      <c r="M544">
        <v>0</v>
      </c>
      <c r="N544">
        <v>155421</v>
      </c>
    </row>
    <row r="545" spans="1:14" x14ac:dyDescent="0.25">
      <c r="A545">
        <v>10544</v>
      </c>
      <c r="B545" s="4">
        <v>45470</v>
      </c>
      <c r="C545" t="s">
        <v>21</v>
      </c>
      <c r="D545" t="s">
        <v>27</v>
      </c>
      <c r="E545" t="s">
        <v>25</v>
      </c>
      <c r="F545" t="s">
        <v>26</v>
      </c>
      <c r="G545">
        <v>63</v>
      </c>
      <c r="H545" t="str">
        <f t="shared" si="8"/>
        <v>55+</v>
      </c>
      <c r="I545">
        <v>1</v>
      </c>
      <c r="J545">
        <v>30223</v>
      </c>
      <c r="K545">
        <v>5</v>
      </c>
      <c r="L545">
        <v>30223</v>
      </c>
      <c r="M545">
        <v>1511.15</v>
      </c>
      <c r="N545">
        <v>28711.85</v>
      </c>
    </row>
    <row r="546" spans="1:14" x14ac:dyDescent="0.25">
      <c r="A546">
        <v>10545</v>
      </c>
      <c r="B546" s="4">
        <v>45471</v>
      </c>
      <c r="C546" t="s">
        <v>13</v>
      </c>
      <c r="D546" t="s">
        <v>27</v>
      </c>
      <c r="E546" t="s">
        <v>32</v>
      </c>
      <c r="F546" t="s">
        <v>31</v>
      </c>
      <c r="G546">
        <v>24</v>
      </c>
      <c r="H546" t="str">
        <f t="shared" si="8"/>
        <v>18-24</v>
      </c>
      <c r="I546">
        <v>5</v>
      </c>
      <c r="J546">
        <v>12514</v>
      </c>
      <c r="K546">
        <v>20</v>
      </c>
      <c r="L546">
        <v>62570</v>
      </c>
      <c r="M546">
        <v>12514</v>
      </c>
      <c r="N546">
        <v>50056</v>
      </c>
    </row>
    <row r="547" spans="1:14" x14ac:dyDescent="0.25">
      <c r="A547">
        <v>10546</v>
      </c>
      <c r="B547" s="4">
        <v>45472</v>
      </c>
      <c r="C547" t="s">
        <v>33</v>
      </c>
      <c r="D547" t="s">
        <v>14</v>
      </c>
      <c r="E547" t="s">
        <v>19</v>
      </c>
      <c r="F547" t="s">
        <v>31</v>
      </c>
      <c r="G547">
        <v>38</v>
      </c>
      <c r="H547" t="str">
        <f t="shared" si="8"/>
        <v>35-44</v>
      </c>
      <c r="I547">
        <v>4</v>
      </c>
      <c r="J547">
        <v>39168</v>
      </c>
      <c r="K547">
        <v>20</v>
      </c>
      <c r="L547">
        <v>156672</v>
      </c>
      <c r="M547">
        <v>31334.400000000001</v>
      </c>
      <c r="N547">
        <v>125337.60000000001</v>
      </c>
    </row>
    <row r="548" spans="1:14" x14ac:dyDescent="0.25">
      <c r="A548">
        <v>10547</v>
      </c>
      <c r="B548" s="4">
        <v>45473</v>
      </c>
      <c r="C548" t="s">
        <v>17</v>
      </c>
      <c r="D548" t="s">
        <v>22</v>
      </c>
      <c r="E548" t="s">
        <v>32</v>
      </c>
      <c r="F548" t="s">
        <v>23</v>
      </c>
      <c r="G548">
        <v>23</v>
      </c>
      <c r="H548" t="str">
        <f t="shared" si="8"/>
        <v>18-24</v>
      </c>
      <c r="I548">
        <v>8</v>
      </c>
      <c r="J548">
        <v>8895</v>
      </c>
      <c r="K548">
        <v>5</v>
      </c>
      <c r="L548">
        <v>71160</v>
      </c>
      <c r="M548">
        <v>3558</v>
      </c>
      <c r="N548">
        <v>67602</v>
      </c>
    </row>
    <row r="549" spans="1:14" x14ac:dyDescent="0.25">
      <c r="A549">
        <v>10548</v>
      </c>
      <c r="B549" s="4">
        <v>45474</v>
      </c>
      <c r="C549" t="s">
        <v>21</v>
      </c>
      <c r="D549" t="s">
        <v>18</v>
      </c>
      <c r="E549" t="s">
        <v>15</v>
      </c>
      <c r="F549" t="s">
        <v>20</v>
      </c>
      <c r="G549">
        <v>21</v>
      </c>
      <c r="H549" t="str">
        <f t="shared" si="8"/>
        <v>18-24</v>
      </c>
      <c r="I549">
        <v>9</v>
      </c>
      <c r="J549">
        <v>41328</v>
      </c>
      <c r="K549">
        <v>0</v>
      </c>
      <c r="L549">
        <v>371952</v>
      </c>
      <c r="M549">
        <v>0</v>
      </c>
      <c r="N549">
        <v>371952</v>
      </c>
    </row>
    <row r="550" spans="1:14" x14ac:dyDescent="0.25">
      <c r="A550">
        <v>10549</v>
      </c>
      <c r="B550" s="4">
        <v>45475</v>
      </c>
      <c r="C550" t="s">
        <v>21</v>
      </c>
      <c r="D550" t="s">
        <v>29</v>
      </c>
      <c r="E550" t="s">
        <v>15</v>
      </c>
      <c r="F550" t="s">
        <v>28</v>
      </c>
      <c r="G550">
        <v>57</v>
      </c>
      <c r="H550" t="str">
        <f t="shared" si="8"/>
        <v>55+</v>
      </c>
      <c r="I550">
        <v>6</v>
      </c>
      <c r="J550">
        <v>10836</v>
      </c>
      <c r="K550">
        <v>5</v>
      </c>
      <c r="L550">
        <v>65016</v>
      </c>
      <c r="M550">
        <v>3250.8</v>
      </c>
      <c r="N550">
        <v>61765.2</v>
      </c>
    </row>
    <row r="551" spans="1:14" x14ac:dyDescent="0.25">
      <c r="A551">
        <v>10550</v>
      </c>
      <c r="B551" s="4">
        <v>45476</v>
      </c>
      <c r="C551" t="s">
        <v>13</v>
      </c>
      <c r="D551" t="s">
        <v>18</v>
      </c>
      <c r="E551" t="s">
        <v>25</v>
      </c>
      <c r="F551" t="s">
        <v>20</v>
      </c>
      <c r="G551">
        <v>29</v>
      </c>
      <c r="H551" t="str">
        <f t="shared" si="8"/>
        <v>25-34</v>
      </c>
      <c r="I551">
        <v>3</v>
      </c>
      <c r="J551">
        <v>46065</v>
      </c>
      <c r="K551">
        <v>15</v>
      </c>
      <c r="L551">
        <v>138195</v>
      </c>
      <c r="M551">
        <v>20729.25</v>
      </c>
      <c r="N551">
        <v>117465.75</v>
      </c>
    </row>
    <row r="552" spans="1:14" x14ac:dyDescent="0.25">
      <c r="A552">
        <v>10551</v>
      </c>
      <c r="B552" s="4">
        <v>45477</v>
      </c>
      <c r="C552" t="s">
        <v>13</v>
      </c>
      <c r="D552" t="s">
        <v>27</v>
      </c>
      <c r="E552" t="s">
        <v>19</v>
      </c>
      <c r="F552" t="s">
        <v>30</v>
      </c>
      <c r="G552">
        <v>62</v>
      </c>
      <c r="H552" t="str">
        <f t="shared" si="8"/>
        <v>55+</v>
      </c>
      <c r="I552">
        <v>6</v>
      </c>
      <c r="J552">
        <v>19564</v>
      </c>
      <c r="K552">
        <v>0</v>
      </c>
      <c r="L552">
        <v>117384</v>
      </c>
      <c r="M552">
        <v>0</v>
      </c>
      <c r="N552">
        <v>117384</v>
      </c>
    </row>
    <row r="553" spans="1:14" x14ac:dyDescent="0.25">
      <c r="A553">
        <v>10552</v>
      </c>
      <c r="B553" s="4">
        <v>45478</v>
      </c>
      <c r="C553" t="s">
        <v>13</v>
      </c>
      <c r="D553" t="s">
        <v>27</v>
      </c>
      <c r="E553" t="s">
        <v>32</v>
      </c>
      <c r="F553" t="s">
        <v>26</v>
      </c>
      <c r="G553">
        <v>62</v>
      </c>
      <c r="H553" t="str">
        <f t="shared" si="8"/>
        <v>55+</v>
      </c>
      <c r="I553">
        <v>2</v>
      </c>
      <c r="J553">
        <v>16297</v>
      </c>
      <c r="K553">
        <v>0</v>
      </c>
      <c r="L553">
        <v>32594</v>
      </c>
      <c r="M553">
        <v>0</v>
      </c>
      <c r="N553">
        <v>32594</v>
      </c>
    </row>
    <row r="554" spans="1:14" x14ac:dyDescent="0.25">
      <c r="A554">
        <v>10553</v>
      </c>
      <c r="B554" s="4">
        <v>45479</v>
      </c>
      <c r="C554" t="s">
        <v>21</v>
      </c>
      <c r="D554" t="s">
        <v>22</v>
      </c>
      <c r="E554" t="s">
        <v>32</v>
      </c>
      <c r="F554" t="s">
        <v>23</v>
      </c>
      <c r="G554">
        <v>44</v>
      </c>
      <c r="H554" t="str">
        <f t="shared" si="8"/>
        <v>35-44</v>
      </c>
      <c r="I554">
        <v>6</v>
      </c>
      <c r="J554">
        <v>14941</v>
      </c>
      <c r="K554">
        <v>0</v>
      </c>
      <c r="L554">
        <v>89646</v>
      </c>
      <c r="M554">
        <v>0</v>
      </c>
      <c r="N554">
        <v>89646</v>
      </c>
    </row>
    <row r="555" spans="1:14" x14ac:dyDescent="0.25">
      <c r="A555">
        <v>10554</v>
      </c>
      <c r="B555" s="4">
        <v>45480</v>
      </c>
      <c r="C555" t="s">
        <v>33</v>
      </c>
      <c r="D555" t="s">
        <v>18</v>
      </c>
      <c r="E555" t="s">
        <v>19</v>
      </c>
      <c r="F555" t="s">
        <v>31</v>
      </c>
      <c r="G555">
        <v>39</v>
      </c>
      <c r="H555" t="str">
        <f t="shared" si="8"/>
        <v>35-44</v>
      </c>
      <c r="I555">
        <v>7</v>
      </c>
      <c r="J555">
        <v>8318</v>
      </c>
      <c r="K555">
        <v>20</v>
      </c>
      <c r="L555">
        <v>58226</v>
      </c>
      <c r="M555">
        <v>11645.2</v>
      </c>
      <c r="N555">
        <v>46580.800000000003</v>
      </c>
    </row>
    <row r="556" spans="1:14" x14ac:dyDescent="0.25">
      <c r="A556">
        <v>10555</v>
      </c>
      <c r="B556" s="4">
        <v>45481</v>
      </c>
      <c r="C556" t="s">
        <v>17</v>
      </c>
      <c r="D556" t="s">
        <v>18</v>
      </c>
      <c r="E556" t="s">
        <v>19</v>
      </c>
      <c r="F556" t="s">
        <v>23</v>
      </c>
      <c r="G556">
        <v>62</v>
      </c>
      <c r="H556" t="str">
        <f t="shared" si="8"/>
        <v>55+</v>
      </c>
      <c r="I556">
        <v>7</v>
      </c>
      <c r="J556">
        <v>37330</v>
      </c>
      <c r="K556">
        <v>15</v>
      </c>
      <c r="L556">
        <v>261310</v>
      </c>
      <c r="M556">
        <v>39196.5</v>
      </c>
      <c r="N556">
        <v>222113.5</v>
      </c>
    </row>
    <row r="557" spans="1:14" x14ac:dyDescent="0.25">
      <c r="A557">
        <v>10556</v>
      </c>
      <c r="B557" s="4">
        <v>45482</v>
      </c>
      <c r="C557" t="s">
        <v>33</v>
      </c>
      <c r="D557" t="s">
        <v>18</v>
      </c>
      <c r="E557" t="s">
        <v>15</v>
      </c>
      <c r="F557" t="s">
        <v>23</v>
      </c>
      <c r="G557">
        <v>34</v>
      </c>
      <c r="H557" t="str">
        <f t="shared" si="8"/>
        <v>25-34</v>
      </c>
      <c r="I557">
        <v>1</v>
      </c>
      <c r="J557">
        <v>45160</v>
      </c>
      <c r="K557">
        <v>5</v>
      </c>
      <c r="L557">
        <v>45160</v>
      </c>
      <c r="M557">
        <v>2258</v>
      </c>
      <c r="N557">
        <v>42902</v>
      </c>
    </row>
    <row r="558" spans="1:14" x14ac:dyDescent="0.25">
      <c r="A558">
        <v>10557</v>
      </c>
      <c r="B558" s="4">
        <v>45483</v>
      </c>
      <c r="C558" t="s">
        <v>33</v>
      </c>
      <c r="D558" t="s">
        <v>22</v>
      </c>
      <c r="E558" t="s">
        <v>15</v>
      </c>
      <c r="F558" t="s">
        <v>23</v>
      </c>
      <c r="G558">
        <v>54</v>
      </c>
      <c r="H558" t="str">
        <f t="shared" si="8"/>
        <v>45-54</v>
      </c>
      <c r="I558">
        <v>9</v>
      </c>
      <c r="J558">
        <v>46982</v>
      </c>
      <c r="K558">
        <v>5</v>
      </c>
      <c r="L558">
        <v>422838</v>
      </c>
      <c r="M558">
        <v>21141.9</v>
      </c>
      <c r="N558">
        <v>401696.1</v>
      </c>
    </row>
    <row r="559" spans="1:14" x14ac:dyDescent="0.25">
      <c r="A559">
        <v>10558</v>
      </c>
      <c r="B559" s="4">
        <v>45484</v>
      </c>
      <c r="C559" t="s">
        <v>21</v>
      </c>
      <c r="D559" t="s">
        <v>29</v>
      </c>
      <c r="E559" t="s">
        <v>19</v>
      </c>
      <c r="F559" t="s">
        <v>30</v>
      </c>
      <c r="G559">
        <v>55</v>
      </c>
      <c r="H559" t="str">
        <f t="shared" si="8"/>
        <v>55+</v>
      </c>
      <c r="I559">
        <v>3</v>
      </c>
      <c r="J559">
        <v>29599</v>
      </c>
      <c r="K559">
        <v>0</v>
      </c>
      <c r="L559">
        <v>88797</v>
      </c>
      <c r="M559">
        <v>0</v>
      </c>
      <c r="N559">
        <v>88797</v>
      </c>
    </row>
    <row r="560" spans="1:14" x14ac:dyDescent="0.25">
      <c r="A560">
        <v>10559</v>
      </c>
      <c r="B560" s="4">
        <v>45485</v>
      </c>
      <c r="C560" t="s">
        <v>33</v>
      </c>
      <c r="D560" t="s">
        <v>29</v>
      </c>
      <c r="E560" t="s">
        <v>15</v>
      </c>
      <c r="F560" t="s">
        <v>20</v>
      </c>
      <c r="G560">
        <v>64</v>
      </c>
      <c r="H560" t="str">
        <f t="shared" si="8"/>
        <v>55+</v>
      </c>
      <c r="I560">
        <v>9</v>
      </c>
      <c r="J560">
        <v>41996</v>
      </c>
      <c r="K560">
        <v>5</v>
      </c>
      <c r="L560">
        <v>377964</v>
      </c>
      <c r="M560">
        <v>18898.2</v>
      </c>
      <c r="N560">
        <v>359065.8</v>
      </c>
    </row>
    <row r="561" spans="1:14" x14ac:dyDescent="0.25">
      <c r="A561">
        <v>10560</v>
      </c>
      <c r="B561" s="4">
        <v>45486</v>
      </c>
      <c r="C561" t="s">
        <v>21</v>
      </c>
      <c r="D561" t="s">
        <v>14</v>
      </c>
      <c r="E561" t="s">
        <v>25</v>
      </c>
      <c r="F561" t="s">
        <v>20</v>
      </c>
      <c r="G561">
        <v>29</v>
      </c>
      <c r="H561" t="str">
        <f t="shared" si="8"/>
        <v>25-34</v>
      </c>
      <c r="I561">
        <v>3</v>
      </c>
      <c r="J561">
        <v>44663</v>
      </c>
      <c r="K561">
        <v>10</v>
      </c>
      <c r="L561">
        <v>133989</v>
      </c>
      <c r="M561">
        <v>13398.9</v>
      </c>
      <c r="N561">
        <v>120590.1</v>
      </c>
    </row>
    <row r="562" spans="1:14" x14ac:dyDescent="0.25">
      <c r="A562">
        <v>10561</v>
      </c>
      <c r="B562" s="4">
        <v>45487</v>
      </c>
      <c r="C562" t="s">
        <v>17</v>
      </c>
      <c r="D562" t="s">
        <v>22</v>
      </c>
      <c r="E562" t="s">
        <v>32</v>
      </c>
      <c r="F562" t="s">
        <v>24</v>
      </c>
      <c r="G562">
        <v>18</v>
      </c>
      <c r="H562" t="str">
        <f t="shared" si="8"/>
        <v>18-24</v>
      </c>
      <c r="I562">
        <v>9</v>
      </c>
      <c r="J562">
        <v>8872</v>
      </c>
      <c r="K562">
        <v>5</v>
      </c>
      <c r="L562">
        <v>79848</v>
      </c>
      <c r="M562">
        <v>3992.4</v>
      </c>
      <c r="N562">
        <v>75855.600000000006</v>
      </c>
    </row>
    <row r="563" spans="1:14" x14ac:dyDescent="0.25">
      <c r="A563">
        <v>10562</v>
      </c>
      <c r="B563" s="4">
        <v>45488</v>
      </c>
      <c r="C563" t="s">
        <v>17</v>
      </c>
      <c r="D563" t="s">
        <v>18</v>
      </c>
      <c r="E563" t="s">
        <v>25</v>
      </c>
      <c r="F563" t="s">
        <v>23</v>
      </c>
      <c r="G563">
        <v>53</v>
      </c>
      <c r="H563" t="str">
        <f t="shared" si="8"/>
        <v>45-54</v>
      </c>
      <c r="I563">
        <v>9</v>
      </c>
      <c r="J563">
        <v>35455</v>
      </c>
      <c r="K563">
        <v>15</v>
      </c>
      <c r="L563">
        <v>319095</v>
      </c>
      <c r="M563">
        <v>47864.25</v>
      </c>
      <c r="N563">
        <v>271230.75</v>
      </c>
    </row>
    <row r="564" spans="1:14" x14ac:dyDescent="0.25">
      <c r="A564">
        <v>10563</v>
      </c>
      <c r="B564" s="4">
        <v>45489</v>
      </c>
      <c r="C564" t="s">
        <v>17</v>
      </c>
      <c r="D564" t="s">
        <v>18</v>
      </c>
      <c r="E564" t="s">
        <v>32</v>
      </c>
      <c r="F564" t="s">
        <v>20</v>
      </c>
      <c r="G564">
        <v>37</v>
      </c>
      <c r="H564" t="str">
        <f t="shared" si="8"/>
        <v>35-44</v>
      </c>
      <c r="I564">
        <v>2</v>
      </c>
      <c r="J564">
        <v>45788</v>
      </c>
      <c r="K564">
        <v>0</v>
      </c>
      <c r="L564">
        <v>91576</v>
      </c>
      <c r="M564">
        <v>0</v>
      </c>
      <c r="N564">
        <v>91576</v>
      </c>
    </row>
    <row r="565" spans="1:14" x14ac:dyDescent="0.25">
      <c r="A565">
        <v>10564</v>
      </c>
      <c r="B565" s="4">
        <v>45490</v>
      </c>
      <c r="C565" t="s">
        <v>17</v>
      </c>
      <c r="D565" t="s">
        <v>14</v>
      </c>
      <c r="E565" t="s">
        <v>25</v>
      </c>
      <c r="F565" t="s">
        <v>16</v>
      </c>
      <c r="G565">
        <v>40</v>
      </c>
      <c r="H565" t="str">
        <f t="shared" si="8"/>
        <v>35-44</v>
      </c>
      <c r="I565">
        <v>5</v>
      </c>
      <c r="J565">
        <v>8379</v>
      </c>
      <c r="K565">
        <v>15</v>
      </c>
      <c r="L565">
        <v>41895</v>
      </c>
      <c r="M565">
        <v>6284.25</v>
      </c>
      <c r="N565">
        <v>35610.75</v>
      </c>
    </row>
    <row r="566" spans="1:14" x14ac:dyDescent="0.25">
      <c r="A566">
        <v>10565</v>
      </c>
      <c r="B566" s="4">
        <v>45491</v>
      </c>
      <c r="C566" t="s">
        <v>17</v>
      </c>
      <c r="D566" t="s">
        <v>14</v>
      </c>
      <c r="E566" t="s">
        <v>32</v>
      </c>
      <c r="F566" t="s">
        <v>20</v>
      </c>
      <c r="G566">
        <v>30</v>
      </c>
      <c r="H566" t="str">
        <f t="shared" si="8"/>
        <v>25-34</v>
      </c>
      <c r="I566">
        <v>5</v>
      </c>
      <c r="J566">
        <v>8297</v>
      </c>
      <c r="K566">
        <v>0</v>
      </c>
      <c r="L566">
        <v>41485</v>
      </c>
      <c r="M566">
        <v>0</v>
      </c>
      <c r="N566">
        <v>41485</v>
      </c>
    </row>
    <row r="567" spans="1:14" x14ac:dyDescent="0.25">
      <c r="A567">
        <v>10566</v>
      </c>
      <c r="B567" s="4">
        <v>45492</v>
      </c>
      <c r="C567" t="s">
        <v>21</v>
      </c>
      <c r="D567" t="s">
        <v>29</v>
      </c>
      <c r="E567" t="s">
        <v>15</v>
      </c>
      <c r="F567" t="s">
        <v>28</v>
      </c>
      <c r="G567">
        <v>28</v>
      </c>
      <c r="H567" t="str">
        <f t="shared" si="8"/>
        <v>25-34</v>
      </c>
      <c r="I567">
        <v>7</v>
      </c>
      <c r="J567">
        <v>33508</v>
      </c>
      <c r="K567">
        <v>0</v>
      </c>
      <c r="L567">
        <v>234556</v>
      </c>
      <c r="M567">
        <v>0</v>
      </c>
      <c r="N567">
        <v>234556</v>
      </c>
    </row>
    <row r="568" spans="1:14" x14ac:dyDescent="0.25">
      <c r="A568">
        <v>10567</v>
      </c>
      <c r="B568" s="4">
        <v>45493</v>
      </c>
      <c r="C568" t="s">
        <v>33</v>
      </c>
      <c r="D568" t="s">
        <v>27</v>
      </c>
      <c r="E568" t="s">
        <v>15</v>
      </c>
      <c r="F568" t="s">
        <v>31</v>
      </c>
      <c r="G568">
        <v>25</v>
      </c>
      <c r="H568" t="str">
        <f t="shared" si="8"/>
        <v>25-34</v>
      </c>
      <c r="I568">
        <v>2</v>
      </c>
      <c r="J568">
        <v>33078</v>
      </c>
      <c r="K568">
        <v>0</v>
      </c>
      <c r="L568">
        <v>66156</v>
      </c>
      <c r="M568">
        <v>0</v>
      </c>
      <c r="N568">
        <v>66156</v>
      </c>
    </row>
    <row r="569" spans="1:14" x14ac:dyDescent="0.25">
      <c r="A569">
        <v>10568</v>
      </c>
      <c r="B569" s="4">
        <v>45494</v>
      </c>
      <c r="C569" t="s">
        <v>17</v>
      </c>
      <c r="D569" t="s">
        <v>18</v>
      </c>
      <c r="E569" t="s">
        <v>15</v>
      </c>
      <c r="F569" t="s">
        <v>26</v>
      </c>
      <c r="G569">
        <v>54</v>
      </c>
      <c r="H569" t="str">
        <f t="shared" si="8"/>
        <v>45-54</v>
      </c>
      <c r="I569">
        <v>4</v>
      </c>
      <c r="J569">
        <v>30352</v>
      </c>
      <c r="K569">
        <v>0</v>
      </c>
      <c r="L569">
        <v>121408</v>
      </c>
      <c r="M569">
        <v>0</v>
      </c>
      <c r="N569">
        <v>121408</v>
      </c>
    </row>
    <row r="570" spans="1:14" x14ac:dyDescent="0.25">
      <c r="A570">
        <v>10569</v>
      </c>
      <c r="B570" s="4">
        <v>45495</v>
      </c>
      <c r="C570" t="s">
        <v>13</v>
      </c>
      <c r="D570" t="s">
        <v>27</v>
      </c>
      <c r="E570" t="s">
        <v>25</v>
      </c>
      <c r="F570" t="s">
        <v>26</v>
      </c>
      <c r="G570">
        <v>49</v>
      </c>
      <c r="H570" t="str">
        <f t="shared" si="8"/>
        <v>45-54</v>
      </c>
      <c r="I570">
        <v>5</v>
      </c>
      <c r="J570">
        <v>1945</v>
      </c>
      <c r="K570">
        <v>10</v>
      </c>
      <c r="L570">
        <v>9725</v>
      </c>
      <c r="M570">
        <v>972.5</v>
      </c>
      <c r="N570">
        <v>8752.5</v>
      </c>
    </row>
    <row r="571" spans="1:14" x14ac:dyDescent="0.25">
      <c r="A571">
        <v>10570</v>
      </c>
      <c r="B571" s="4">
        <v>45496</v>
      </c>
      <c r="C571" t="s">
        <v>33</v>
      </c>
      <c r="D571" t="s">
        <v>14</v>
      </c>
      <c r="E571" t="s">
        <v>25</v>
      </c>
      <c r="F571" t="s">
        <v>24</v>
      </c>
      <c r="G571">
        <v>41</v>
      </c>
      <c r="H571" t="str">
        <f t="shared" si="8"/>
        <v>35-44</v>
      </c>
      <c r="I571">
        <v>8</v>
      </c>
      <c r="J571">
        <v>12058</v>
      </c>
      <c r="K571">
        <v>0</v>
      </c>
      <c r="L571">
        <v>96464</v>
      </c>
      <c r="M571">
        <v>0</v>
      </c>
      <c r="N571">
        <v>96464</v>
      </c>
    </row>
    <row r="572" spans="1:14" x14ac:dyDescent="0.25">
      <c r="A572">
        <v>10571</v>
      </c>
      <c r="B572" s="4">
        <v>45497</v>
      </c>
      <c r="C572" t="s">
        <v>33</v>
      </c>
      <c r="D572" t="s">
        <v>29</v>
      </c>
      <c r="E572" t="s">
        <v>25</v>
      </c>
      <c r="F572" t="s">
        <v>16</v>
      </c>
      <c r="G572">
        <v>46</v>
      </c>
      <c r="H572" t="str">
        <f t="shared" si="8"/>
        <v>45-54</v>
      </c>
      <c r="I572">
        <v>7</v>
      </c>
      <c r="J572">
        <v>36571</v>
      </c>
      <c r="K572">
        <v>20</v>
      </c>
      <c r="L572">
        <v>255997</v>
      </c>
      <c r="M572">
        <v>51199.4</v>
      </c>
      <c r="N572">
        <v>204797.6</v>
      </c>
    </row>
    <row r="573" spans="1:14" x14ac:dyDescent="0.25">
      <c r="A573">
        <v>10572</v>
      </c>
      <c r="B573" s="4">
        <v>45498</v>
      </c>
      <c r="C573" t="s">
        <v>21</v>
      </c>
      <c r="D573" t="s">
        <v>29</v>
      </c>
      <c r="E573" t="s">
        <v>32</v>
      </c>
      <c r="F573" t="s">
        <v>24</v>
      </c>
      <c r="G573">
        <v>18</v>
      </c>
      <c r="H573" t="str">
        <f t="shared" si="8"/>
        <v>18-24</v>
      </c>
      <c r="I573">
        <v>9</v>
      </c>
      <c r="J573">
        <v>39207</v>
      </c>
      <c r="K573">
        <v>5</v>
      </c>
      <c r="L573">
        <v>352863</v>
      </c>
      <c r="M573">
        <v>17643.150000000001</v>
      </c>
      <c r="N573">
        <v>335219.84999999998</v>
      </c>
    </row>
    <row r="574" spans="1:14" x14ac:dyDescent="0.25">
      <c r="A574">
        <v>10573</v>
      </c>
      <c r="B574" s="4">
        <v>45499</v>
      </c>
      <c r="C574" t="s">
        <v>33</v>
      </c>
      <c r="D574" t="s">
        <v>22</v>
      </c>
      <c r="E574" t="s">
        <v>25</v>
      </c>
      <c r="F574" t="s">
        <v>28</v>
      </c>
      <c r="G574">
        <v>57</v>
      </c>
      <c r="H574" t="str">
        <f t="shared" si="8"/>
        <v>55+</v>
      </c>
      <c r="I574">
        <v>8</v>
      </c>
      <c r="J574">
        <v>17617</v>
      </c>
      <c r="K574">
        <v>20</v>
      </c>
      <c r="L574">
        <v>140936</v>
      </c>
      <c r="M574">
        <v>28187.200000000001</v>
      </c>
      <c r="N574">
        <v>112748.8</v>
      </c>
    </row>
    <row r="575" spans="1:14" x14ac:dyDescent="0.25">
      <c r="A575">
        <v>10574</v>
      </c>
      <c r="B575" s="4">
        <v>45500</v>
      </c>
      <c r="C575" t="s">
        <v>13</v>
      </c>
      <c r="D575" t="s">
        <v>27</v>
      </c>
      <c r="E575" t="s">
        <v>15</v>
      </c>
      <c r="F575" t="s">
        <v>23</v>
      </c>
      <c r="G575">
        <v>50</v>
      </c>
      <c r="H575" t="str">
        <f t="shared" si="8"/>
        <v>45-54</v>
      </c>
      <c r="I575">
        <v>7</v>
      </c>
      <c r="J575">
        <v>3577</v>
      </c>
      <c r="K575">
        <v>15</v>
      </c>
      <c r="L575">
        <v>25039</v>
      </c>
      <c r="M575">
        <v>3755.85</v>
      </c>
      <c r="N575">
        <v>21283.15</v>
      </c>
    </row>
    <row r="576" spans="1:14" x14ac:dyDescent="0.25">
      <c r="A576">
        <v>10575</v>
      </c>
      <c r="B576" s="4">
        <v>45501</v>
      </c>
      <c r="C576" t="s">
        <v>33</v>
      </c>
      <c r="D576" t="s">
        <v>14</v>
      </c>
      <c r="E576" t="s">
        <v>25</v>
      </c>
      <c r="F576" t="s">
        <v>31</v>
      </c>
      <c r="G576">
        <v>20</v>
      </c>
      <c r="H576" t="str">
        <f t="shared" si="8"/>
        <v>18-24</v>
      </c>
      <c r="I576">
        <v>8</v>
      </c>
      <c r="J576">
        <v>779</v>
      </c>
      <c r="K576">
        <v>10</v>
      </c>
      <c r="L576">
        <v>6232</v>
      </c>
      <c r="M576">
        <v>623.20000000000005</v>
      </c>
      <c r="N576">
        <v>5608.8</v>
      </c>
    </row>
    <row r="577" spans="1:14" x14ac:dyDescent="0.25">
      <c r="A577">
        <v>10576</v>
      </c>
      <c r="B577" s="4">
        <v>45502</v>
      </c>
      <c r="C577" t="s">
        <v>21</v>
      </c>
      <c r="D577" t="s">
        <v>27</v>
      </c>
      <c r="E577" t="s">
        <v>15</v>
      </c>
      <c r="F577" t="s">
        <v>31</v>
      </c>
      <c r="G577">
        <v>64</v>
      </c>
      <c r="H577" t="str">
        <f t="shared" si="8"/>
        <v>55+</v>
      </c>
      <c r="I577">
        <v>3</v>
      </c>
      <c r="J577">
        <v>5273</v>
      </c>
      <c r="K577">
        <v>5</v>
      </c>
      <c r="L577">
        <v>15819</v>
      </c>
      <c r="M577">
        <v>790.95</v>
      </c>
      <c r="N577">
        <v>15028.05</v>
      </c>
    </row>
    <row r="578" spans="1:14" x14ac:dyDescent="0.25">
      <c r="A578">
        <v>10577</v>
      </c>
      <c r="B578" s="4">
        <v>45503</v>
      </c>
      <c r="C578" t="s">
        <v>33</v>
      </c>
      <c r="D578" t="s">
        <v>18</v>
      </c>
      <c r="E578" t="s">
        <v>25</v>
      </c>
      <c r="F578" t="s">
        <v>28</v>
      </c>
      <c r="G578">
        <v>33</v>
      </c>
      <c r="H578" t="str">
        <f t="shared" si="8"/>
        <v>25-34</v>
      </c>
      <c r="I578">
        <v>7</v>
      </c>
      <c r="J578">
        <v>8483</v>
      </c>
      <c r="K578">
        <v>5</v>
      </c>
      <c r="L578">
        <v>59381</v>
      </c>
      <c r="M578">
        <v>2969.05</v>
      </c>
      <c r="N578">
        <v>56411.95</v>
      </c>
    </row>
    <row r="579" spans="1:14" x14ac:dyDescent="0.25">
      <c r="A579">
        <v>10578</v>
      </c>
      <c r="B579" s="4">
        <v>45504</v>
      </c>
      <c r="C579" t="s">
        <v>17</v>
      </c>
      <c r="D579" t="s">
        <v>22</v>
      </c>
      <c r="E579" t="s">
        <v>32</v>
      </c>
      <c r="F579" t="s">
        <v>24</v>
      </c>
      <c r="G579">
        <v>63</v>
      </c>
      <c r="H579" t="str">
        <f t="shared" ref="H579:H642" si="9">IF(G579&lt;25,"18-24",IF(G579&lt;35,"25-34",IF(G579&lt;45,"35-44",IF(G579&lt;55,"45-54","55+"))))</f>
        <v>55+</v>
      </c>
      <c r="I579">
        <v>7</v>
      </c>
      <c r="J579">
        <v>11075</v>
      </c>
      <c r="K579">
        <v>15</v>
      </c>
      <c r="L579">
        <v>77525</v>
      </c>
      <c r="M579">
        <v>11628.75</v>
      </c>
      <c r="N579">
        <v>65896.25</v>
      </c>
    </row>
    <row r="580" spans="1:14" x14ac:dyDescent="0.25">
      <c r="A580">
        <v>10579</v>
      </c>
      <c r="B580" s="4">
        <v>45505</v>
      </c>
      <c r="C580" t="s">
        <v>21</v>
      </c>
      <c r="D580" t="s">
        <v>27</v>
      </c>
      <c r="E580" t="s">
        <v>25</v>
      </c>
      <c r="F580" t="s">
        <v>31</v>
      </c>
      <c r="G580">
        <v>55</v>
      </c>
      <c r="H580" t="str">
        <f t="shared" si="9"/>
        <v>55+</v>
      </c>
      <c r="I580">
        <v>4</v>
      </c>
      <c r="J580">
        <v>22347</v>
      </c>
      <c r="K580">
        <v>10</v>
      </c>
      <c r="L580">
        <v>89388</v>
      </c>
      <c r="M580">
        <v>8938.7999999999993</v>
      </c>
      <c r="N580">
        <v>80449.2</v>
      </c>
    </row>
    <row r="581" spans="1:14" x14ac:dyDescent="0.25">
      <c r="A581">
        <v>10580</v>
      </c>
      <c r="B581" s="4">
        <v>45506</v>
      </c>
      <c r="C581" t="s">
        <v>13</v>
      </c>
      <c r="D581" t="s">
        <v>18</v>
      </c>
      <c r="E581" t="s">
        <v>15</v>
      </c>
      <c r="F581" t="s">
        <v>24</v>
      </c>
      <c r="G581">
        <v>44</v>
      </c>
      <c r="H581" t="str">
        <f t="shared" si="9"/>
        <v>35-44</v>
      </c>
      <c r="I581">
        <v>8</v>
      </c>
      <c r="J581">
        <v>32939</v>
      </c>
      <c r="K581">
        <v>0</v>
      </c>
      <c r="L581">
        <v>263512</v>
      </c>
      <c r="M581">
        <v>0</v>
      </c>
      <c r="N581">
        <v>263512</v>
      </c>
    </row>
    <row r="582" spans="1:14" x14ac:dyDescent="0.25">
      <c r="A582">
        <v>10581</v>
      </c>
      <c r="B582" s="4">
        <v>45507</v>
      </c>
      <c r="C582" t="s">
        <v>21</v>
      </c>
      <c r="D582" t="s">
        <v>14</v>
      </c>
      <c r="E582" t="s">
        <v>32</v>
      </c>
      <c r="F582" t="s">
        <v>20</v>
      </c>
      <c r="G582">
        <v>42</v>
      </c>
      <c r="H582" t="str">
        <f t="shared" si="9"/>
        <v>35-44</v>
      </c>
      <c r="I582">
        <v>5</v>
      </c>
      <c r="J582">
        <v>15408</v>
      </c>
      <c r="K582">
        <v>0</v>
      </c>
      <c r="L582">
        <v>77040</v>
      </c>
      <c r="M582">
        <v>0</v>
      </c>
      <c r="N582">
        <v>77040</v>
      </c>
    </row>
    <row r="583" spans="1:14" x14ac:dyDescent="0.25">
      <c r="A583">
        <v>10582</v>
      </c>
      <c r="B583" s="4">
        <v>45508</v>
      </c>
      <c r="C583" t="s">
        <v>33</v>
      </c>
      <c r="D583" t="s">
        <v>18</v>
      </c>
      <c r="E583" t="s">
        <v>19</v>
      </c>
      <c r="F583" t="s">
        <v>24</v>
      </c>
      <c r="G583">
        <v>51</v>
      </c>
      <c r="H583" t="str">
        <f t="shared" si="9"/>
        <v>45-54</v>
      </c>
      <c r="I583">
        <v>2</v>
      </c>
      <c r="J583">
        <v>49570</v>
      </c>
      <c r="K583">
        <v>10</v>
      </c>
      <c r="L583">
        <v>99140</v>
      </c>
      <c r="M583">
        <v>9914</v>
      </c>
      <c r="N583">
        <v>89226</v>
      </c>
    </row>
    <row r="584" spans="1:14" x14ac:dyDescent="0.25">
      <c r="A584">
        <v>10583</v>
      </c>
      <c r="B584" s="4">
        <v>45509</v>
      </c>
      <c r="C584" t="s">
        <v>33</v>
      </c>
      <c r="D584" t="s">
        <v>27</v>
      </c>
      <c r="E584" t="s">
        <v>15</v>
      </c>
      <c r="F584" t="s">
        <v>24</v>
      </c>
      <c r="G584">
        <v>52</v>
      </c>
      <c r="H584" t="str">
        <f t="shared" si="9"/>
        <v>45-54</v>
      </c>
      <c r="I584">
        <v>5</v>
      </c>
      <c r="J584">
        <v>17504</v>
      </c>
      <c r="K584">
        <v>15</v>
      </c>
      <c r="L584">
        <v>87520</v>
      </c>
      <c r="M584">
        <v>13128</v>
      </c>
      <c r="N584">
        <v>74392</v>
      </c>
    </row>
    <row r="585" spans="1:14" x14ac:dyDescent="0.25">
      <c r="A585">
        <v>10584</v>
      </c>
      <c r="B585" s="4">
        <v>45510</v>
      </c>
      <c r="C585" t="s">
        <v>33</v>
      </c>
      <c r="D585" t="s">
        <v>18</v>
      </c>
      <c r="E585" t="s">
        <v>15</v>
      </c>
      <c r="F585" t="s">
        <v>16</v>
      </c>
      <c r="G585">
        <v>43</v>
      </c>
      <c r="H585" t="str">
        <f t="shared" si="9"/>
        <v>35-44</v>
      </c>
      <c r="I585">
        <v>7</v>
      </c>
      <c r="J585">
        <v>7801</v>
      </c>
      <c r="K585">
        <v>0</v>
      </c>
      <c r="L585">
        <v>54607</v>
      </c>
      <c r="M585">
        <v>0</v>
      </c>
      <c r="N585">
        <v>54607</v>
      </c>
    </row>
    <row r="586" spans="1:14" x14ac:dyDescent="0.25">
      <c r="A586">
        <v>10585</v>
      </c>
      <c r="B586" s="4">
        <v>45511</v>
      </c>
      <c r="C586" t="s">
        <v>13</v>
      </c>
      <c r="D586" t="s">
        <v>22</v>
      </c>
      <c r="E586" t="s">
        <v>32</v>
      </c>
      <c r="F586" t="s">
        <v>28</v>
      </c>
      <c r="G586">
        <v>32</v>
      </c>
      <c r="H586" t="str">
        <f t="shared" si="9"/>
        <v>25-34</v>
      </c>
      <c r="I586">
        <v>3</v>
      </c>
      <c r="J586">
        <v>12845</v>
      </c>
      <c r="K586">
        <v>0</v>
      </c>
      <c r="L586">
        <v>38535</v>
      </c>
      <c r="M586">
        <v>0</v>
      </c>
      <c r="N586">
        <v>38535</v>
      </c>
    </row>
    <row r="587" spans="1:14" x14ac:dyDescent="0.25">
      <c r="A587">
        <v>10586</v>
      </c>
      <c r="B587" s="4">
        <v>45512</v>
      </c>
      <c r="C587" t="s">
        <v>33</v>
      </c>
      <c r="D587" t="s">
        <v>29</v>
      </c>
      <c r="E587" t="s">
        <v>25</v>
      </c>
      <c r="F587" t="s">
        <v>16</v>
      </c>
      <c r="G587">
        <v>37</v>
      </c>
      <c r="H587" t="str">
        <f t="shared" si="9"/>
        <v>35-44</v>
      </c>
      <c r="I587">
        <v>4</v>
      </c>
      <c r="J587">
        <v>37845</v>
      </c>
      <c r="K587">
        <v>5</v>
      </c>
      <c r="L587">
        <v>151380</v>
      </c>
      <c r="M587">
        <v>7569</v>
      </c>
      <c r="N587">
        <v>143811</v>
      </c>
    </row>
    <row r="588" spans="1:14" x14ac:dyDescent="0.25">
      <c r="A588">
        <v>10587</v>
      </c>
      <c r="B588" s="4">
        <v>45513</v>
      </c>
      <c r="C588" t="s">
        <v>33</v>
      </c>
      <c r="D588" t="s">
        <v>22</v>
      </c>
      <c r="E588" t="s">
        <v>15</v>
      </c>
      <c r="F588" t="s">
        <v>20</v>
      </c>
      <c r="G588">
        <v>63</v>
      </c>
      <c r="H588" t="str">
        <f t="shared" si="9"/>
        <v>55+</v>
      </c>
      <c r="I588">
        <v>8</v>
      </c>
      <c r="J588">
        <v>22006</v>
      </c>
      <c r="K588">
        <v>15</v>
      </c>
      <c r="L588">
        <v>176048</v>
      </c>
      <c r="M588">
        <v>26407.200000000001</v>
      </c>
      <c r="N588">
        <v>149640.79999999999</v>
      </c>
    </row>
    <row r="589" spans="1:14" x14ac:dyDescent="0.25">
      <c r="A589">
        <v>10588</v>
      </c>
      <c r="B589" s="4">
        <v>45514</v>
      </c>
      <c r="C589" t="s">
        <v>17</v>
      </c>
      <c r="D589" t="s">
        <v>18</v>
      </c>
      <c r="E589" t="s">
        <v>15</v>
      </c>
      <c r="F589" t="s">
        <v>23</v>
      </c>
      <c r="G589">
        <v>37</v>
      </c>
      <c r="H589" t="str">
        <f t="shared" si="9"/>
        <v>35-44</v>
      </c>
      <c r="I589">
        <v>6</v>
      </c>
      <c r="J589">
        <v>32310</v>
      </c>
      <c r="K589">
        <v>0</v>
      </c>
      <c r="L589">
        <v>193860</v>
      </c>
      <c r="M589">
        <v>0</v>
      </c>
      <c r="N589">
        <v>193860</v>
      </c>
    </row>
    <row r="590" spans="1:14" x14ac:dyDescent="0.25">
      <c r="A590">
        <v>10589</v>
      </c>
      <c r="B590" s="4">
        <v>45515</v>
      </c>
      <c r="C590" t="s">
        <v>13</v>
      </c>
      <c r="D590" t="s">
        <v>14</v>
      </c>
      <c r="E590" t="s">
        <v>19</v>
      </c>
      <c r="F590" t="s">
        <v>16</v>
      </c>
      <c r="G590">
        <v>29</v>
      </c>
      <c r="H590" t="str">
        <f t="shared" si="9"/>
        <v>25-34</v>
      </c>
      <c r="I590">
        <v>1</v>
      </c>
      <c r="J590">
        <v>46234</v>
      </c>
      <c r="K590">
        <v>5</v>
      </c>
      <c r="L590">
        <v>46234</v>
      </c>
      <c r="M590">
        <v>2311.6999999999998</v>
      </c>
      <c r="N590">
        <v>43922.3</v>
      </c>
    </row>
    <row r="591" spans="1:14" x14ac:dyDescent="0.25">
      <c r="A591">
        <v>10590</v>
      </c>
      <c r="B591" s="4">
        <v>45516</v>
      </c>
      <c r="C591" t="s">
        <v>21</v>
      </c>
      <c r="D591" t="s">
        <v>27</v>
      </c>
      <c r="E591" t="s">
        <v>19</v>
      </c>
      <c r="F591" t="s">
        <v>30</v>
      </c>
      <c r="G591">
        <v>38</v>
      </c>
      <c r="H591" t="str">
        <f t="shared" si="9"/>
        <v>35-44</v>
      </c>
      <c r="I591">
        <v>8</v>
      </c>
      <c r="J591">
        <v>3246</v>
      </c>
      <c r="K591">
        <v>15</v>
      </c>
      <c r="L591">
        <v>25968</v>
      </c>
      <c r="M591">
        <v>3895.2</v>
      </c>
      <c r="N591">
        <v>22072.799999999999</v>
      </c>
    </row>
    <row r="592" spans="1:14" x14ac:dyDescent="0.25">
      <c r="A592">
        <v>10591</v>
      </c>
      <c r="B592" s="4">
        <v>45517</v>
      </c>
      <c r="C592" t="s">
        <v>17</v>
      </c>
      <c r="D592" t="s">
        <v>27</v>
      </c>
      <c r="E592" t="s">
        <v>25</v>
      </c>
      <c r="F592" t="s">
        <v>24</v>
      </c>
      <c r="G592">
        <v>55</v>
      </c>
      <c r="H592" t="str">
        <f t="shared" si="9"/>
        <v>55+</v>
      </c>
      <c r="I592">
        <v>4</v>
      </c>
      <c r="J592">
        <v>22445</v>
      </c>
      <c r="K592">
        <v>15</v>
      </c>
      <c r="L592">
        <v>89780</v>
      </c>
      <c r="M592">
        <v>13467</v>
      </c>
      <c r="N592">
        <v>76313</v>
      </c>
    </row>
    <row r="593" spans="1:14" x14ac:dyDescent="0.25">
      <c r="A593">
        <v>10592</v>
      </c>
      <c r="B593" s="4">
        <v>45518</v>
      </c>
      <c r="C593" t="s">
        <v>13</v>
      </c>
      <c r="D593" t="s">
        <v>29</v>
      </c>
      <c r="E593" t="s">
        <v>19</v>
      </c>
      <c r="F593" t="s">
        <v>31</v>
      </c>
      <c r="G593">
        <v>50</v>
      </c>
      <c r="H593" t="str">
        <f t="shared" si="9"/>
        <v>45-54</v>
      </c>
      <c r="I593">
        <v>8</v>
      </c>
      <c r="J593">
        <v>14695</v>
      </c>
      <c r="K593">
        <v>15</v>
      </c>
      <c r="L593">
        <v>117560</v>
      </c>
      <c r="M593">
        <v>17634</v>
      </c>
      <c r="N593">
        <v>99926</v>
      </c>
    </row>
    <row r="594" spans="1:14" x14ac:dyDescent="0.25">
      <c r="A594">
        <v>10593</v>
      </c>
      <c r="B594" s="4">
        <v>45519</v>
      </c>
      <c r="C594" t="s">
        <v>17</v>
      </c>
      <c r="D594" t="s">
        <v>18</v>
      </c>
      <c r="E594" t="s">
        <v>32</v>
      </c>
      <c r="F594" t="s">
        <v>23</v>
      </c>
      <c r="G594">
        <v>33</v>
      </c>
      <c r="H594" t="str">
        <f t="shared" si="9"/>
        <v>25-34</v>
      </c>
      <c r="I594">
        <v>1</v>
      </c>
      <c r="J594">
        <v>28620</v>
      </c>
      <c r="K594">
        <v>15</v>
      </c>
      <c r="L594">
        <v>28620</v>
      </c>
      <c r="M594">
        <v>4293</v>
      </c>
      <c r="N594">
        <v>24327</v>
      </c>
    </row>
    <row r="595" spans="1:14" x14ac:dyDescent="0.25">
      <c r="A595">
        <v>10594</v>
      </c>
      <c r="B595" s="4">
        <v>45520</v>
      </c>
      <c r="C595" t="s">
        <v>13</v>
      </c>
      <c r="D595" t="s">
        <v>14</v>
      </c>
      <c r="E595" t="s">
        <v>19</v>
      </c>
      <c r="F595" t="s">
        <v>24</v>
      </c>
      <c r="G595">
        <v>52</v>
      </c>
      <c r="H595" t="str">
        <f t="shared" si="9"/>
        <v>45-54</v>
      </c>
      <c r="I595">
        <v>5</v>
      </c>
      <c r="J595">
        <v>15746</v>
      </c>
      <c r="K595">
        <v>20</v>
      </c>
      <c r="L595">
        <v>78730</v>
      </c>
      <c r="M595">
        <v>15746</v>
      </c>
      <c r="N595">
        <v>62984</v>
      </c>
    </row>
    <row r="596" spans="1:14" x14ac:dyDescent="0.25">
      <c r="A596">
        <v>10595</v>
      </c>
      <c r="B596" s="4">
        <v>45521</v>
      </c>
      <c r="C596" t="s">
        <v>17</v>
      </c>
      <c r="D596" t="s">
        <v>18</v>
      </c>
      <c r="E596" t="s">
        <v>15</v>
      </c>
      <c r="F596" t="s">
        <v>28</v>
      </c>
      <c r="G596">
        <v>59</v>
      </c>
      <c r="H596" t="str">
        <f t="shared" si="9"/>
        <v>55+</v>
      </c>
      <c r="I596">
        <v>5</v>
      </c>
      <c r="J596">
        <v>6497</v>
      </c>
      <c r="K596">
        <v>20</v>
      </c>
      <c r="L596">
        <v>32485</v>
      </c>
      <c r="M596">
        <v>6497</v>
      </c>
      <c r="N596">
        <v>25988</v>
      </c>
    </row>
    <row r="597" spans="1:14" x14ac:dyDescent="0.25">
      <c r="A597">
        <v>10596</v>
      </c>
      <c r="B597" s="4">
        <v>45522</v>
      </c>
      <c r="C597" t="s">
        <v>33</v>
      </c>
      <c r="D597" t="s">
        <v>18</v>
      </c>
      <c r="E597" t="s">
        <v>32</v>
      </c>
      <c r="F597" t="s">
        <v>16</v>
      </c>
      <c r="G597">
        <v>56</v>
      </c>
      <c r="H597" t="str">
        <f t="shared" si="9"/>
        <v>55+</v>
      </c>
      <c r="I597">
        <v>3</v>
      </c>
      <c r="J597">
        <v>178</v>
      </c>
      <c r="K597">
        <v>10</v>
      </c>
      <c r="L597">
        <v>534</v>
      </c>
      <c r="M597">
        <v>53.4</v>
      </c>
      <c r="N597">
        <v>480.6</v>
      </c>
    </row>
    <row r="598" spans="1:14" x14ac:dyDescent="0.25">
      <c r="A598">
        <v>10597</v>
      </c>
      <c r="B598" s="4">
        <v>45523</v>
      </c>
      <c r="C598" t="s">
        <v>33</v>
      </c>
      <c r="D598" t="s">
        <v>18</v>
      </c>
      <c r="E598" t="s">
        <v>19</v>
      </c>
      <c r="F598" t="s">
        <v>30</v>
      </c>
      <c r="G598">
        <v>57</v>
      </c>
      <c r="H598" t="str">
        <f t="shared" si="9"/>
        <v>55+</v>
      </c>
      <c r="I598">
        <v>5</v>
      </c>
      <c r="J598">
        <v>12969</v>
      </c>
      <c r="K598">
        <v>15</v>
      </c>
      <c r="L598">
        <v>64845</v>
      </c>
      <c r="M598">
        <v>9726.75</v>
      </c>
      <c r="N598">
        <v>55118.25</v>
      </c>
    </row>
    <row r="599" spans="1:14" x14ac:dyDescent="0.25">
      <c r="A599">
        <v>10598</v>
      </c>
      <c r="B599" s="4">
        <v>45524</v>
      </c>
      <c r="C599" t="s">
        <v>21</v>
      </c>
      <c r="D599" t="s">
        <v>18</v>
      </c>
      <c r="E599" t="s">
        <v>32</v>
      </c>
      <c r="F599" t="s">
        <v>30</v>
      </c>
      <c r="G599">
        <v>24</v>
      </c>
      <c r="H599" t="str">
        <f t="shared" si="9"/>
        <v>18-24</v>
      </c>
      <c r="I599">
        <v>5</v>
      </c>
      <c r="J599">
        <v>8006</v>
      </c>
      <c r="K599">
        <v>0</v>
      </c>
      <c r="L599">
        <v>40030</v>
      </c>
      <c r="M599">
        <v>0</v>
      </c>
      <c r="N599">
        <v>40030</v>
      </c>
    </row>
    <row r="600" spans="1:14" x14ac:dyDescent="0.25">
      <c r="A600">
        <v>10599</v>
      </c>
      <c r="B600" s="4">
        <v>45525</v>
      </c>
      <c r="C600" t="s">
        <v>33</v>
      </c>
      <c r="D600" t="s">
        <v>27</v>
      </c>
      <c r="E600" t="s">
        <v>15</v>
      </c>
      <c r="F600" t="s">
        <v>26</v>
      </c>
      <c r="G600">
        <v>54</v>
      </c>
      <c r="H600" t="str">
        <f t="shared" si="9"/>
        <v>45-54</v>
      </c>
      <c r="I600">
        <v>4</v>
      </c>
      <c r="J600">
        <v>38468</v>
      </c>
      <c r="K600">
        <v>5</v>
      </c>
      <c r="L600">
        <v>153872</v>
      </c>
      <c r="M600">
        <v>7693.6</v>
      </c>
      <c r="N600">
        <v>146178.4</v>
      </c>
    </row>
    <row r="601" spans="1:14" x14ac:dyDescent="0.25">
      <c r="A601">
        <v>10600</v>
      </c>
      <c r="B601" s="4">
        <v>45526</v>
      </c>
      <c r="C601" t="s">
        <v>21</v>
      </c>
      <c r="D601" t="s">
        <v>29</v>
      </c>
      <c r="E601" t="s">
        <v>19</v>
      </c>
      <c r="F601" t="s">
        <v>16</v>
      </c>
      <c r="G601">
        <v>26</v>
      </c>
      <c r="H601" t="str">
        <f t="shared" si="9"/>
        <v>25-34</v>
      </c>
      <c r="I601">
        <v>7</v>
      </c>
      <c r="J601">
        <v>12660</v>
      </c>
      <c r="K601">
        <v>10</v>
      </c>
      <c r="L601">
        <v>88620</v>
      </c>
      <c r="M601">
        <v>8862</v>
      </c>
      <c r="N601">
        <v>79758</v>
      </c>
    </row>
    <row r="602" spans="1:14" x14ac:dyDescent="0.25">
      <c r="A602">
        <v>10601</v>
      </c>
      <c r="B602" s="4">
        <v>45527</v>
      </c>
      <c r="C602" t="s">
        <v>21</v>
      </c>
      <c r="D602" t="s">
        <v>27</v>
      </c>
      <c r="E602" t="s">
        <v>32</v>
      </c>
      <c r="F602" t="s">
        <v>26</v>
      </c>
      <c r="G602">
        <v>18</v>
      </c>
      <c r="H602" t="str">
        <f t="shared" si="9"/>
        <v>18-24</v>
      </c>
      <c r="I602">
        <v>1</v>
      </c>
      <c r="J602">
        <v>16089</v>
      </c>
      <c r="K602">
        <v>5</v>
      </c>
      <c r="L602">
        <v>16089</v>
      </c>
      <c r="M602">
        <v>804.45</v>
      </c>
      <c r="N602">
        <v>15284.55</v>
      </c>
    </row>
    <row r="603" spans="1:14" x14ac:dyDescent="0.25">
      <c r="A603">
        <v>10602</v>
      </c>
      <c r="B603" s="4">
        <v>45528</v>
      </c>
      <c r="C603" t="s">
        <v>21</v>
      </c>
      <c r="D603" t="s">
        <v>18</v>
      </c>
      <c r="E603" t="s">
        <v>25</v>
      </c>
      <c r="F603" t="s">
        <v>23</v>
      </c>
      <c r="G603">
        <v>41</v>
      </c>
      <c r="H603" t="str">
        <f t="shared" si="9"/>
        <v>35-44</v>
      </c>
      <c r="I603">
        <v>8</v>
      </c>
      <c r="J603">
        <v>1156</v>
      </c>
      <c r="K603">
        <v>15</v>
      </c>
      <c r="L603">
        <v>9248</v>
      </c>
      <c r="M603">
        <v>1387.2</v>
      </c>
      <c r="N603">
        <v>7860.8</v>
      </c>
    </row>
    <row r="604" spans="1:14" x14ac:dyDescent="0.25">
      <c r="A604">
        <v>10603</v>
      </c>
      <c r="B604" s="4">
        <v>45529</v>
      </c>
      <c r="C604" t="s">
        <v>33</v>
      </c>
      <c r="D604" t="s">
        <v>18</v>
      </c>
      <c r="E604" t="s">
        <v>15</v>
      </c>
      <c r="F604" t="s">
        <v>24</v>
      </c>
      <c r="G604">
        <v>60</v>
      </c>
      <c r="H604" t="str">
        <f t="shared" si="9"/>
        <v>55+</v>
      </c>
      <c r="I604">
        <v>9</v>
      </c>
      <c r="J604">
        <v>47124</v>
      </c>
      <c r="K604">
        <v>10</v>
      </c>
      <c r="L604">
        <v>424116</v>
      </c>
      <c r="M604">
        <v>42411.6</v>
      </c>
      <c r="N604">
        <v>381704.4</v>
      </c>
    </row>
    <row r="605" spans="1:14" x14ac:dyDescent="0.25">
      <c r="A605">
        <v>10604</v>
      </c>
      <c r="B605" s="4">
        <v>45530</v>
      </c>
      <c r="C605" t="s">
        <v>17</v>
      </c>
      <c r="D605" t="s">
        <v>29</v>
      </c>
      <c r="E605" t="s">
        <v>15</v>
      </c>
      <c r="F605" t="s">
        <v>23</v>
      </c>
      <c r="G605">
        <v>36</v>
      </c>
      <c r="H605" t="str">
        <f t="shared" si="9"/>
        <v>35-44</v>
      </c>
      <c r="I605">
        <v>8</v>
      </c>
      <c r="J605">
        <v>38389</v>
      </c>
      <c r="K605">
        <v>10</v>
      </c>
      <c r="L605">
        <v>307112</v>
      </c>
      <c r="M605">
        <v>30711.200000000001</v>
      </c>
      <c r="N605">
        <v>276400.8</v>
      </c>
    </row>
    <row r="606" spans="1:14" x14ac:dyDescent="0.25">
      <c r="A606">
        <v>10605</v>
      </c>
      <c r="B606" s="4">
        <v>45531</v>
      </c>
      <c r="C606" t="s">
        <v>33</v>
      </c>
      <c r="D606" t="s">
        <v>14</v>
      </c>
      <c r="E606" t="s">
        <v>25</v>
      </c>
      <c r="F606" t="s">
        <v>30</v>
      </c>
      <c r="G606">
        <v>62</v>
      </c>
      <c r="H606" t="str">
        <f t="shared" si="9"/>
        <v>55+</v>
      </c>
      <c r="I606">
        <v>5</v>
      </c>
      <c r="J606">
        <v>14075</v>
      </c>
      <c r="K606">
        <v>5</v>
      </c>
      <c r="L606">
        <v>70375</v>
      </c>
      <c r="M606">
        <v>3518.75</v>
      </c>
      <c r="N606">
        <v>66856.25</v>
      </c>
    </row>
    <row r="607" spans="1:14" x14ac:dyDescent="0.25">
      <c r="A607">
        <v>10606</v>
      </c>
      <c r="B607" s="4">
        <v>45532</v>
      </c>
      <c r="C607" t="s">
        <v>21</v>
      </c>
      <c r="D607" t="s">
        <v>27</v>
      </c>
      <c r="E607" t="s">
        <v>15</v>
      </c>
      <c r="F607" t="s">
        <v>20</v>
      </c>
      <c r="G607">
        <v>61</v>
      </c>
      <c r="H607" t="str">
        <f t="shared" si="9"/>
        <v>55+</v>
      </c>
      <c r="I607">
        <v>8</v>
      </c>
      <c r="J607">
        <v>30255</v>
      </c>
      <c r="K607">
        <v>0</v>
      </c>
      <c r="L607">
        <v>242040</v>
      </c>
      <c r="M607">
        <v>0</v>
      </c>
      <c r="N607">
        <v>242040</v>
      </c>
    </row>
    <row r="608" spans="1:14" x14ac:dyDescent="0.25">
      <c r="A608">
        <v>10607</v>
      </c>
      <c r="B608" s="4">
        <v>45533</v>
      </c>
      <c r="C608" t="s">
        <v>21</v>
      </c>
      <c r="D608" t="s">
        <v>29</v>
      </c>
      <c r="E608" t="s">
        <v>19</v>
      </c>
      <c r="F608" t="s">
        <v>28</v>
      </c>
      <c r="G608">
        <v>47</v>
      </c>
      <c r="H608" t="str">
        <f t="shared" si="9"/>
        <v>45-54</v>
      </c>
      <c r="I608">
        <v>5</v>
      </c>
      <c r="J608">
        <v>2369</v>
      </c>
      <c r="K608">
        <v>10</v>
      </c>
      <c r="L608">
        <v>11845</v>
      </c>
      <c r="M608">
        <v>1184.5</v>
      </c>
      <c r="N608">
        <v>10660.5</v>
      </c>
    </row>
    <row r="609" spans="1:14" x14ac:dyDescent="0.25">
      <c r="A609">
        <v>10608</v>
      </c>
      <c r="B609" s="4">
        <v>45534</v>
      </c>
      <c r="C609" t="s">
        <v>17</v>
      </c>
      <c r="D609" t="s">
        <v>22</v>
      </c>
      <c r="E609" t="s">
        <v>19</v>
      </c>
      <c r="F609" t="s">
        <v>24</v>
      </c>
      <c r="G609">
        <v>55</v>
      </c>
      <c r="H609" t="str">
        <f t="shared" si="9"/>
        <v>55+</v>
      </c>
      <c r="I609">
        <v>3</v>
      </c>
      <c r="J609">
        <v>41048</v>
      </c>
      <c r="K609">
        <v>15</v>
      </c>
      <c r="L609">
        <v>123144</v>
      </c>
      <c r="M609">
        <v>18471.599999999999</v>
      </c>
      <c r="N609">
        <v>104672.4</v>
      </c>
    </row>
    <row r="610" spans="1:14" x14ac:dyDescent="0.25">
      <c r="A610">
        <v>10609</v>
      </c>
      <c r="B610" s="4">
        <v>45535</v>
      </c>
      <c r="C610" t="s">
        <v>21</v>
      </c>
      <c r="D610" t="s">
        <v>14</v>
      </c>
      <c r="E610" t="s">
        <v>32</v>
      </c>
      <c r="F610" t="s">
        <v>31</v>
      </c>
      <c r="G610">
        <v>23</v>
      </c>
      <c r="H610" t="str">
        <f t="shared" si="9"/>
        <v>18-24</v>
      </c>
      <c r="I610">
        <v>3</v>
      </c>
      <c r="J610">
        <v>48085</v>
      </c>
      <c r="K610">
        <v>5</v>
      </c>
      <c r="L610">
        <v>144255</v>
      </c>
      <c r="M610">
        <v>7212.75</v>
      </c>
      <c r="N610">
        <v>137042.25</v>
      </c>
    </row>
    <row r="611" spans="1:14" x14ac:dyDescent="0.25">
      <c r="A611">
        <v>10610</v>
      </c>
      <c r="B611" s="4">
        <v>45536</v>
      </c>
      <c r="C611" t="s">
        <v>13</v>
      </c>
      <c r="D611" t="s">
        <v>22</v>
      </c>
      <c r="E611" t="s">
        <v>32</v>
      </c>
      <c r="F611" t="s">
        <v>16</v>
      </c>
      <c r="G611">
        <v>20</v>
      </c>
      <c r="H611" t="str">
        <f t="shared" si="9"/>
        <v>18-24</v>
      </c>
      <c r="I611">
        <v>9</v>
      </c>
      <c r="J611">
        <v>26575</v>
      </c>
      <c r="K611">
        <v>20</v>
      </c>
      <c r="L611">
        <v>239175</v>
      </c>
      <c r="M611">
        <v>47835</v>
      </c>
      <c r="N611">
        <v>191340</v>
      </c>
    </row>
    <row r="612" spans="1:14" x14ac:dyDescent="0.25">
      <c r="A612">
        <v>10611</v>
      </c>
      <c r="B612" s="4">
        <v>45537</v>
      </c>
      <c r="C612" t="s">
        <v>33</v>
      </c>
      <c r="D612" t="s">
        <v>29</v>
      </c>
      <c r="E612" t="s">
        <v>15</v>
      </c>
      <c r="F612" t="s">
        <v>16</v>
      </c>
      <c r="G612">
        <v>58</v>
      </c>
      <c r="H612" t="str">
        <f t="shared" si="9"/>
        <v>55+</v>
      </c>
      <c r="I612">
        <v>6</v>
      </c>
      <c r="J612">
        <v>16188</v>
      </c>
      <c r="K612">
        <v>0</v>
      </c>
      <c r="L612">
        <v>97128</v>
      </c>
      <c r="M612">
        <v>0</v>
      </c>
      <c r="N612">
        <v>97128</v>
      </c>
    </row>
    <row r="613" spans="1:14" x14ac:dyDescent="0.25">
      <c r="A613">
        <v>10612</v>
      </c>
      <c r="B613" s="4">
        <v>45538</v>
      </c>
      <c r="C613" t="s">
        <v>13</v>
      </c>
      <c r="D613" t="s">
        <v>14</v>
      </c>
      <c r="E613" t="s">
        <v>25</v>
      </c>
      <c r="F613" t="s">
        <v>23</v>
      </c>
      <c r="G613">
        <v>54</v>
      </c>
      <c r="H613" t="str">
        <f t="shared" si="9"/>
        <v>45-54</v>
      </c>
      <c r="I613">
        <v>4</v>
      </c>
      <c r="J613">
        <v>1887</v>
      </c>
      <c r="K613">
        <v>0</v>
      </c>
      <c r="L613">
        <v>7548</v>
      </c>
      <c r="M613">
        <v>0</v>
      </c>
      <c r="N613">
        <v>7548</v>
      </c>
    </row>
    <row r="614" spans="1:14" x14ac:dyDescent="0.25">
      <c r="A614">
        <v>10613</v>
      </c>
      <c r="B614" s="4">
        <v>45539</v>
      </c>
      <c r="C614" t="s">
        <v>33</v>
      </c>
      <c r="D614" t="s">
        <v>18</v>
      </c>
      <c r="E614" t="s">
        <v>15</v>
      </c>
      <c r="F614" t="s">
        <v>31</v>
      </c>
      <c r="G614">
        <v>48</v>
      </c>
      <c r="H614" t="str">
        <f t="shared" si="9"/>
        <v>45-54</v>
      </c>
      <c r="I614">
        <v>6</v>
      </c>
      <c r="J614">
        <v>13906</v>
      </c>
      <c r="K614">
        <v>5</v>
      </c>
      <c r="L614">
        <v>83436</v>
      </c>
      <c r="M614">
        <v>4171.8</v>
      </c>
      <c r="N614">
        <v>79264.2</v>
      </c>
    </row>
    <row r="615" spans="1:14" x14ac:dyDescent="0.25">
      <c r="A615">
        <v>10614</v>
      </c>
      <c r="B615" s="4">
        <v>45540</v>
      </c>
      <c r="C615" t="s">
        <v>21</v>
      </c>
      <c r="D615" t="s">
        <v>29</v>
      </c>
      <c r="E615" t="s">
        <v>32</v>
      </c>
      <c r="F615" t="s">
        <v>24</v>
      </c>
      <c r="G615">
        <v>37</v>
      </c>
      <c r="H615" t="str">
        <f t="shared" si="9"/>
        <v>35-44</v>
      </c>
      <c r="I615">
        <v>1</v>
      </c>
      <c r="J615">
        <v>10922</v>
      </c>
      <c r="K615">
        <v>20</v>
      </c>
      <c r="L615">
        <v>10922</v>
      </c>
      <c r="M615">
        <v>2184.4</v>
      </c>
      <c r="N615">
        <v>8737.6</v>
      </c>
    </row>
    <row r="616" spans="1:14" x14ac:dyDescent="0.25">
      <c r="A616">
        <v>10615</v>
      </c>
      <c r="B616" s="4">
        <v>45541</v>
      </c>
      <c r="C616" t="s">
        <v>13</v>
      </c>
      <c r="D616" t="s">
        <v>18</v>
      </c>
      <c r="E616" t="s">
        <v>32</v>
      </c>
      <c r="F616" t="s">
        <v>24</v>
      </c>
      <c r="G616">
        <v>37</v>
      </c>
      <c r="H616" t="str">
        <f t="shared" si="9"/>
        <v>35-44</v>
      </c>
      <c r="I616">
        <v>4</v>
      </c>
      <c r="J616">
        <v>17567</v>
      </c>
      <c r="K616">
        <v>20</v>
      </c>
      <c r="L616">
        <v>70268</v>
      </c>
      <c r="M616">
        <v>14053.6</v>
      </c>
      <c r="N616">
        <v>56214.400000000001</v>
      </c>
    </row>
    <row r="617" spans="1:14" x14ac:dyDescent="0.25">
      <c r="A617">
        <v>10616</v>
      </c>
      <c r="B617" s="4">
        <v>45542</v>
      </c>
      <c r="C617" t="s">
        <v>17</v>
      </c>
      <c r="D617" t="s">
        <v>29</v>
      </c>
      <c r="E617" t="s">
        <v>32</v>
      </c>
      <c r="F617" t="s">
        <v>23</v>
      </c>
      <c r="G617">
        <v>41</v>
      </c>
      <c r="H617" t="str">
        <f t="shared" si="9"/>
        <v>35-44</v>
      </c>
      <c r="I617">
        <v>6</v>
      </c>
      <c r="J617">
        <v>48707</v>
      </c>
      <c r="K617">
        <v>10</v>
      </c>
      <c r="L617">
        <v>292242</v>
      </c>
      <c r="M617">
        <v>29224.2</v>
      </c>
      <c r="N617">
        <v>263017.8</v>
      </c>
    </row>
    <row r="618" spans="1:14" x14ac:dyDescent="0.25">
      <c r="A618">
        <v>10617</v>
      </c>
      <c r="B618" s="4">
        <v>45543</v>
      </c>
      <c r="C618" t="s">
        <v>13</v>
      </c>
      <c r="D618" t="s">
        <v>14</v>
      </c>
      <c r="E618" t="s">
        <v>19</v>
      </c>
      <c r="F618" t="s">
        <v>16</v>
      </c>
      <c r="G618">
        <v>48</v>
      </c>
      <c r="H618" t="str">
        <f t="shared" si="9"/>
        <v>45-54</v>
      </c>
      <c r="I618">
        <v>5</v>
      </c>
      <c r="J618">
        <v>17151</v>
      </c>
      <c r="K618">
        <v>20</v>
      </c>
      <c r="L618">
        <v>85755</v>
      </c>
      <c r="M618">
        <v>17151</v>
      </c>
      <c r="N618">
        <v>68604</v>
      </c>
    </row>
    <row r="619" spans="1:14" x14ac:dyDescent="0.25">
      <c r="A619">
        <v>10618</v>
      </c>
      <c r="B619" s="4">
        <v>45544</v>
      </c>
      <c r="C619" t="s">
        <v>13</v>
      </c>
      <c r="D619" t="s">
        <v>14</v>
      </c>
      <c r="E619" t="s">
        <v>15</v>
      </c>
      <c r="F619" t="s">
        <v>31</v>
      </c>
      <c r="G619">
        <v>35</v>
      </c>
      <c r="H619" t="str">
        <f t="shared" si="9"/>
        <v>35-44</v>
      </c>
      <c r="I619">
        <v>2</v>
      </c>
      <c r="J619">
        <v>28314</v>
      </c>
      <c r="K619">
        <v>20</v>
      </c>
      <c r="L619">
        <v>56628</v>
      </c>
      <c r="M619">
        <v>11325.6</v>
      </c>
      <c r="N619">
        <v>45302.400000000001</v>
      </c>
    </row>
    <row r="620" spans="1:14" x14ac:dyDescent="0.25">
      <c r="A620">
        <v>10619</v>
      </c>
      <c r="B620" s="4">
        <v>45545</v>
      </c>
      <c r="C620" t="s">
        <v>13</v>
      </c>
      <c r="D620" t="s">
        <v>14</v>
      </c>
      <c r="E620" t="s">
        <v>15</v>
      </c>
      <c r="F620" t="s">
        <v>28</v>
      </c>
      <c r="G620">
        <v>52</v>
      </c>
      <c r="H620" t="str">
        <f t="shared" si="9"/>
        <v>45-54</v>
      </c>
      <c r="I620">
        <v>6</v>
      </c>
      <c r="J620">
        <v>49799</v>
      </c>
      <c r="K620">
        <v>5</v>
      </c>
      <c r="L620">
        <v>298794</v>
      </c>
      <c r="M620">
        <v>14939.7</v>
      </c>
      <c r="N620">
        <v>283854.3</v>
      </c>
    </row>
    <row r="621" spans="1:14" x14ac:dyDescent="0.25">
      <c r="A621">
        <v>10620</v>
      </c>
      <c r="B621" s="4">
        <v>45546</v>
      </c>
      <c r="C621" t="s">
        <v>13</v>
      </c>
      <c r="D621" t="s">
        <v>18</v>
      </c>
      <c r="E621" t="s">
        <v>19</v>
      </c>
      <c r="F621" t="s">
        <v>28</v>
      </c>
      <c r="G621">
        <v>57</v>
      </c>
      <c r="H621" t="str">
        <f t="shared" si="9"/>
        <v>55+</v>
      </c>
      <c r="I621">
        <v>1</v>
      </c>
      <c r="J621">
        <v>15745</v>
      </c>
      <c r="K621">
        <v>20</v>
      </c>
      <c r="L621">
        <v>15745</v>
      </c>
      <c r="M621">
        <v>3149</v>
      </c>
      <c r="N621">
        <v>12596</v>
      </c>
    </row>
    <row r="622" spans="1:14" x14ac:dyDescent="0.25">
      <c r="A622">
        <v>10621</v>
      </c>
      <c r="B622" s="4">
        <v>45547</v>
      </c>
      <c r="C622" t="s">
        <v>33</v>
      </c>
      <c r="D622" t="s">
        <v>14</v>
      </c>
      <c r="E622" t="s">
        <v>15</v>
      </c>
      <c r="F622" t="s">
        <v>28</v>
      </c>
      <c r="G622">
        <v>41</v>
      </c>
      <c r="H622" t="str">
        <f t="shared" si="9"/>
        <v>35-44</v>
      </c>
      <c r="I622">
        <v>4</v>
      </c>
      <c r="J622">
        <v>23424</v>
      </c>
      <c r="K622">
        <v>15</v>
      </c>
      <c r="L622">
        <v>93696</v>
      </c>
      <c r="M622">
        <v>14054.4</v>
      </c>
      <c r="N622">
        <v>79641.600000000006</v>
      </c>
    </row>
    <row r="623" spans="1:14" x14ac:dyDescent="0.25">
      <c r="A623">
        <v>10622</v>
      </c>
      <c r="B623" s="4">
        <v>45548</v>
      </c>
      <c r="C623" t="s">
        <v>33</v>
      </c>
      <c r="D623" t="s">
        <v>14</v>
      </c>
      <c r="E623" t="s">
        <v>25</v>
      </c>
      <c r="F623" t="s">
        <v>16</v>
      </c>
      <c r="G623">
        <v>34</v>
      </c>
      <c r="H623" t="str">
        <f t="shared" si="9"/>
        <v>25-34</v>
      </c>
      <c r="I623">
        <v>7</v>
      </c>
      <c r="J623">
        <v>34353</v>
      </c>
      <c r="K623">
        <v>0</v>
      </c>
      <c r="L623">
        <v>240471</v>
      </c>
      <c r="M623">
        <v>0</v>
      </c>
      <c r="N623">
        <v>240471</v>
      </c>
    </row>
    <row r="624" spans="1:14" x14ac:dyDescent="0.25">
      <c r="A624">
        <v>10623</v>
      </c>
      <c r="B624" s="4">
        <v>45549</v>
      </c>
      <c r="C624" t="s">
        <v>21</v>
      </c>
      <c r="D624" t="s">
        <v>29</v>
      </c>
      <c r="E624" t="s">
        <v>25</v>
      </c>
      <c r="F624" t="s">
        <v>30</v>
      </c>
      <c r="G624">
        <v>27</v>
      </c>
      <c r="H624" t="str">
        <f t="shared" si="9"/>
        <v>25-34</v>
      </c>
      <c r="I624">
        <v>6</v>
      </c>
      <c r="J624">
        <v>22196</v>
      </c>
      <c r="K624">
        <v>15</v>
      </c>
      <c r="L624">
        <v>133176</v>
      </c>
      <c r="M624">
        <v>19976.400000000001</v>
      </c>
      <c r="N624">
        <v>113199.6</v>
      </c>
    </row>
    <row r="625" spans="1:14" x14ac:dyDescent="0.25">
      <c r="A625">
        <v>10624</v>
      </c>
      <c r="B625" s="4">
        <v>45550</v>
      </c>
      <c r="C625" t="s">
        <v>13</v>
      </c>
      <c r="D625" t="s">
        <v>29</v>
      </c>
      <c r="E625" t="s">
        <v>19</v>
      </c>
      <c r="F625" t="s">
        <v>28</v>
      </c>
      <c r="G625">
        <v>45</v>
      </c>
      <c r="H625" t="str">
        <f t="shared" si="9"/>
        <v>45-54</v>
      </c>
      <c r="I625">
        <v>9</v>
      </c>
      <c r="J625">
        <v>28727</v>
      </c>
      <c r="K625">
        <v>10</v>
      </c>
      <c r="L625">
        <v>258543</v>
      </c>
      <c r="M625">
        <v>25854.3</v>
      </c>
      <c r="N625">
        <v>232688.7</v>
      </c>
    </row>
    <row r="626" spans="1:14" x14ac:dyDescent="0.25">
      <c r="A626">
        <v>10625</v>
      </c>
      <c r="B626" s="4">
        <v>45551</v>
      </c>
      <c r="C626" t="s">
        <v>21</v>
      </c>
      <c r="D626" t="s">
        <v>27</v>
      </c>
      <c r="E626" t="s">
        <v>32</v>
      </c>
      <c r="F626" t="s">
        <v>28</v>
      </c>
      <c r="G626">
        <v>48</v>
      </c>
      <c r="H626" t="str">
        <f t="shared" si="9"/>
        <v>45-54</v>
      </c>
      <c r="I626">
        <v>2</v>
      </c>
      <c r="J626">
        <v>48743</v>
      </c>
      <c r="K626">
        <v>20</v>
      </c>
      <c r="L626">
        <v>97486</v>
      </c>
      <c r="M626">
        <v>19497.2</v>
      </c>
      <c r="N626">
        <v>77988.800000000003</v>
      </c>
    </row>
    <row r="627" spans="1:14" x14ac:dyDescent="0.25">
      <c r="A627">
        <v>10626</v>
      </c>
      <c r="B627" s="4">
        <v>45552</v>
      </c>
      <c r="C627" t="s">
        <v>33</v>
      </c>
      <c r="D627" t="s">
        <v>22</v>
      </c>
      <c r="E627" t="s">
        <v>32</v>
      </c>
      <c r="F627" t="s">
        <v>30</v>
      </c>
      <c r="G627">
        <v>55</v>
      </c>
      <c r="H627" t="str">
        <f t="shared" si="9"/>
        <v>55+</v>
      </c>
      <c r="I627">
        <v>5</v>
      </c>
      <c r="J627">
        <v>3516</v>
      </c>
      <c r="K627">
        <v>5</v>
      </c>
      <c r="L627">
        <v>17580</v>
      </c>
      <c r="M627">
        <v>879</v>
      </c>
      <c r="N627">
        <v>16701</v>
      </c>
    </row>
    <row r="628" spans="1:14" x14ac:dyDescent="0.25">
      <c r="A628">
        <v>10627</v>
      </c>
      <c r="B628" s="4">
        <v>45553</v>
      </c>
      <c r="C628" t="s">
        <v>17</v>
      </c>
      <c r="D628" t="s">
        <v>27</v>
      </c>
      <c r="E628" t="s">
        <v>15</v>
      </c>
      <c r="F628" t="s">
        <v>28</v>
      </c>
      <c r="G628">
        <v>39</v>
      </c>
      <c r="H628" t="str">
        <f t="shared" si="9"/>
        <v>35-44</v>
      </c>
      <c r="I628">
        <v>7</v>
      </c>
      <c r="J628">
        <v>12329</v>
      </c>
      <c r="K628">
        <v>15</v>
      </c>
      <c r="L628">
        <v>86303</v>
      </c>
      <c r="M628">
        <v>12945.45</v>
      </c>
      <c r="N628">
        <v>73357.55</v>
      </c>
    </row>
    <row r="629" spans="1:14" x14ac:dyDescent="0.25">
      <c r="A629">
        <v>10628</v>
      </c>
      <c r="B629" s="4">
        <v>45554</v>
      </c>
      <c r="C629" t="s">
        <v>33</v>
      </c>
      <c r="D629" t="s">
        <v>18</v>
      </c>
      <c r="E629" t="s">
        <v>25</v>
      </c>
      <c r="F629" t="s">
        <v>28</v>
      </c>
      <c r="G629">
        <v>18</v>
      </c>
      <c r="H629" t="str">
        <f t="shared" si="9"/>
        <v>18-24</v>
      </c>
      <c r="I629">
        <v>6</v>
      </c>
      <c r="J629">
        <v>12445</v>
      </c>
      <c r="K629">
        <v>15</v>
      </c>
      <c r="L629">
        <v>74670</v>
      </c>
      <c r="M629">
        <v>11200.5</v>
      </c>
      <c r="N629">
        <v>63469.5</v>
      </c>
    </row>
    <row r="630" spans="1:14" x14ac:dyDescent="0.25">
      <c r="A630">
        <v>10629</v>
      </c>
      <c r="B630" s="4">
        <v>45555</v>
      </c>
      <c r="C630" t="s">
        <v>13</v>
      </c>
      <c r="D630" t="s">
        <v>27</v>
      </c>
      <c r="E630" t="s">
        <v>32</v>
      </c>
      <c r="F630" t="s">
        <v>23</v>
      </c>
      <c r="G630">
        <v>49</v>
      </c>
      <c r="H630" t="str">
        <f t="shared" si="9"/>
        <v>45-54</v>
      </c>
      <c r="I630">
        <v>1</v>
      </c>
      <c r="J630">
        <v>16188</v>
      </c>
      <c r="K630">
        <v>0</v>
      </c>
      <c r="L630">
        <v>16188</v>
      </c>
      <c r="M630">
        <v>0</v>
      </c>
      <c r="N630">
        <v>16188</v>
      </c>
    </row>
    <row r="631" spans="1:14" x14ac:dyDescent="0.25">
      <c r="A631">
        <v>10630</v>
      </c>
      <c r="B631" s="4">
        <v>45556</v>
      </c>
      <c r="C631" t="s">
        <v>13</v>
      </c>
      <c r="D631" t="s">
        <v>18</v>
      </c>
      <c r="E631" t="s">
        <v>19</v>
      </c>
      <c r="F631" t="s">
        <v>30</v>
      </c>
      <c r="G631">
        <v>47</v>
      </c>
      <c r="H631" t="str">
        <f t="shared" si="9"/>
        <v>45-54</v>
      </c>
      <c r="I631">
        <v>9</v>
      </c>
      <c r="J631">
        <v>3124</v>
      </c>
      <c r="K631">
        <v>5</v>
      </c>
      <c r="L631">
        <v>28116</v>
      </c>
      <c r="M631">
        <v>1405.8</v>
      </c>
      <c r="N631">
        <v>26710.2</v>
      </c>
    </row>
    <row r="632" spans="1:14" x14ac:dyDescent="0.25">
      <c r="A632">
        <v>10631</v>
      </c>
      <c r="B632" s="4">
        <v>45557</v>
      </c>
      <c r="C632" t="s">
        <v>33</v>
      </c>
      <c r="D632" t="s">
        <v>29</v>
      </c>
      <c r="E632" t="s">
        <v>19</v>
      </c>
      <c r="F632" t="s">
        <v>26</v>
      </c>
      <c r="G632">
        <v>36</v>
      </c>
      <c r="H632" t="str">
        <f t="shared" si="9"/>
        <v>35-44</v>
      </c>
      <c r="I632">
        <v>4</v>
      </c>
      <c r="J632">
        <v>13446</v>
      </c>
      <c r="K632">
        <v>20</v>
      </c>
      <c r="L632">
        <v>53784</v>
      </c>
      <c r="M632">
        <v>10756.8</v>
      </c>
      <c r="N632">
        <v>43027.199999999997</v>
      </c>
    </row>
    <row r="633" spans="1:14" x14ac:dyDescent="0.25">
      <c r="A633">
        <v>10632</v>
      </c>
      <c r="B633" s="4">
        <v>45558</v>
      </c>
      <c r="C633" t="s">
        <v>21</v>
      </c>
      <c r="D633" t="s">
        <v>14</v>
      </c>
      <c r="E633" t="s">
        <v>25</v>
      </c>
      <c r="F633" t="s">
        <v>26</v>
      </c>
      <c r="G633">
        <v>57</v>
      </c>
      <c r="H633" t="str">
        <f t="shared" si="9"/>
        <v>55+</v>
      </c>
      <c r="I633">
        <v>4</v>
      </c>
      <c r="J633">
        <v>21929</v>
      </c>
      <c r="K633">
        <v>15</v>
      </c>
      <c r="L633">
        <v>87716</v>
      </c>
      <c r="M633">
        <v>13157.4</v>
      </c>
      <c r="N633">
        <v>74558.600000000006</v>
      </c>
    </row>
    <row r="634" spans="1:14" x14ac:dyDescent="0.25">
      <c r="A634">
        <v>10633</v>
      </c>
      <c r="B634" s="4">
        <v>45559</v>
      </c>
      <c r="C634" t="s">
        <v>21</v>
      </c>
      <c r="D634" t="s">
        <v>29</v>
      </c>
      <c r="E634" t="s">
        <v>25</v>
      </c>
      <c r="F634" t="s">
        <v>31</v>
      </c>
      <c r="G634">
        <v>62</v>
      </c>
      <c r="H634" t="str">
        <f t="shared" si="9"/>
        <v>55+</v>
      </c>
      <c r="I634">
        <v>1</v>
      </c>
      <c r="J634">
        <v>38192</v>
      </c>
      <c r="K634">
        <v>5</v>
      </c>
      <c r="L634">
        <v>38192</v>
      </c>
      <c r="M634">
        <v>1909.6</v>
      </c>
      <c r="N634">
        <v>36282.400000000001</v>
      </c>
    </row>
    <row r="635" spans="1:14" x14ac:dyDescent="0.25">
      <c r="A635">
        <v>10634</v>
      </c>
      <c r="B635" s="4">
        <v>45560</v>
      </c>
      <c r="C635" t="s">
        <v>13</v>
      </c>
      <c r="D635" t="s">
        <v>29</v>
      </c>
      <c r="E635" t="s">
        <v>15</v>
      </c>
      <c r="F635" t="s">
        <v>31</v>
      </c>
      <c r="G635">
        <v>62</v>
      </c>
      <c r="H635" t="str">
        <f t="shared" si="9"/>
        <v>55+</v>
      </c>
      <c r="I635">
        <v>7</v>
      </c>
      <c r="J635">
        <v>37764</v>
      </c>
      <c r="K635">
        <v>15</v>
      </c>
      <c r="L635">
        <v>264348</v>
      </c>
      <c r="M635">
        <v>39652.199999999997</v>
      </c>
      <c r="N635">
        <v>224695.8</v>
      </c>
    </row>
    <row r="636" spans="1:14" x14ac:dyDescent="0.25">
      <c r="A636">
        <v>10635</v>
      </c>
      <c r="B636" s="4">
        <v>45561</v>
      </c>
      <c r="C636" t="s">
        <v>17</v>
      </c>
      <c r="D636" t="s">
        <v>29</v>
      </c>
      <c r="E636" t="s">
        <v>32</v>
      </c>
      <c r="F636" t="s">
        <v>28</v>
      </c>
      <c r="G636">
        <v>41</v>
      </c>
      <c r="H636" t="str">
        <f t="shared" si="9"/>
        <v>35-44</v>
      </c>
      <c r="I636">
        <v>7</v>
      </c>
      <c r="J636">
        <v>40574</v>
      </c>
      <c r="K636">
        <v>10</v>
      </c>
      <c r="L636">
        <v>284018</v>
      </c>
      <c r="M636">
        <v>28401.8</v>
      </c>
      <c r="N636">
        <v>255616.2</v>
      </c>
    </row>
    <row r="637" spans="1:14" x14ac:dyDescent="0.25">
      <c r="A637">
        <v>10636</v>
      </c>
      <c r="B637" s="4">
        <v>45562</v>
      </c>
      <c r="C637" t="s">
        <v>21</v>
      </c>
      <c r="D637" t="s">
        <v>22</v>
      </c>
      <c r="E637" t="s">
        <v>19</v>
      </c>
      <c r="F637" t="s">
        <v>26</v>
      </c>
      <c r="G637">
        <v>54</v>
      </c>
      <c r="H637" t="str">
        <f t="shared" si="9"/>
        <v>45-54</v>
      </c>
      <c r="I637">
        <v>2</v>
      </c>
      <c r="J637">
        <v>9444</v>
      </c>
      <c r="K637">
        <v>15</v>
      </c>
      <c r="L637">
        <v>18888</v>
      </c>
      <c r="M637">
        <v>2833.2</v>
      </c>
      <c r="N637">
        <v>16054.8</v>
      </c>
    </row>
    <row r="638" spans="1:14" x14ac:dyDescent="0.25">
      <c r="A638">
        <v>10637</v>
      </c>
      <c r="B638" s="4">
        <v>45563</v>
      </c>
      <c r="C638" t="s">
        <v>13</v>
      </c>
      <c r="D638" t="s">
        <v>29</v>
      </c>
      <c r="E638" t="s">
        <v>25</v>
      </c>
      <c r="F638" t="s">
        <v>28</v>
      </c>
      <c r="G638">
        <v>35</v>
      </c>
      <c r="H638" t="str">
        <f t="shared" si="9"/>
        <v>35-44</v>
      </c>
      <c r="I638">
        <v>3</v>
      </c>
      <c r="J638">
        <v>15790</v>
      </c>
      <c r="K638">
        <v>5</v>
      </c>
      <c r="L638">
        <v>47370</v>
      </c>
      <c r="M638">
        <v>2368.5</v>
      </c>
      <c r="N638">
        <v>45001.5</v>
      </c>
    </row>
    <row r="639" spans="1:14" x14ac:dyDescent="0.25">
      <c r="A639">
        <v>10638</v>
      </c>
      <c r="B639" s="4">
        <v>45564</v>
      </c>
      <c r="C639" t="s">
        <v>13</v>
      </c>
      <c r="D639" t="s">
        <v>27</v>
      </c>
      <c r="E639" t="s">
        <v>19</v>
      </c>
      <c r="F639" t="s">
        <v>26</v>
      </c>
      <c r="G639">
        <v>43</v>
      </c>
      <c r="H639" t="str">
        <f t="shared" si="9"/>
        <v>35-44</v>
      </c>
      <c r="I639">
        <v>9</v>
      </c>
      <c r="J639">
        <v>43639</v>
      </c>
      <c r="K639">
        <v>15</v>
      </c>
      <c r="L639">
        <v>392751</v>
      </c>
      <c r="M639">
        <v>58912.65</v>
      </c>
      <c r="N639">
        <v>333838.34999999998</v>
      </c>
    </row>
    <row r="640" spans="1:14" x14ac:dyDescent="0.25">
      <c r="A640">
        <v>10639</v>
      </c>
      <c r="B640" s="4">
        <v>45565</v>
      </c>
      <c r="C640" t="s">
        <v>21</v>
      </c>
      <c r="D640" t="s">
        <v>14</v>
      </c>
      <c r="E640" t="s">
        <v>15</v>
      </c>
      <c r="F640" t="s">
        <v>16</v>
      </c>
      <c r="G640">
        <v>23</v>
      </c>
      <c r="H640" t="str">
        <f t="shared" si="9"/>
        <v>18-24</v>
      </c>
      <c r="I640">
        <v>1</v>
      </c>
      <c r="J640">
        <v>15504</v>
      </c>
      <c r="K640">
        <v>5</v>
      </c>
      <c r="L640">
        <v>15504</v>
      </c>
      <c r="M640">
        <v>775.2</v>
      </c>
      <c r="N640">
        <v>14728.8</v>
      </c>
    </row>
    <row r="641" spans="1:14" x14ac:dyDescent="0.25">
      <c r="A641">
        <v>10640</v>
      </c>
      <c r="B641" s="4">
        <v>45566</v>
      </c>
      <c r="C641" t="s">
        <v>21</v>
      </c>
      <c r="D641" t="s">
        <v>29</v>
      </c>
      <c r="E641" t="s">
        <v>25</v>
      </c>
      <c r="F641" t="s">
        <v>28</v>
      </c>
      <c r="G641">
        <v>61</v>
      </c>
      <c r="H641" t="str">
        <f t="shared" si="9"/>
        <v>55+</v>
      </c>
      <c r="I641">
        <v>7</v>
      </c>
      <c r="J641">
        <v>24960</v>
      </c>
      <c r="K641">
        <v>10</v>
      </c>
      <c r="L641">
        <v>174720</v>
      </c>
      <c r="M641">
        <v>17472</v>
      </c>
      <c r="N641">
        <v>157248</v>
      </c>
    </row>
    <row r="642" spans="1:14" x14ac:dyDescent="0.25">
      <c r="A642">
        <v>10641</v>
      </c>
      <c r="B642" s="4">
        <v>45567</v>
      </c>
      <c r="C642" t="s">
        <v>21</v>
      </c>
      <c r="D642" t="s">
        <v>18</v>
      </c>
      <c r="E642" t="s">
        <v>19</v>
      </c>
      <c r="F642" t="s">
        <v>26</v>
      </c>
      <c r="G642">
        <v>28</v>
      </c>
      <c r="H642" t="str">
        <f t="shared" si="9"/>
        <v>25-34</v>
      </c>
      <c r="I642">
        <v>4</v>
      </c>
      <c r="J642">
        <v>42588</v>
      </c>
      <c r="K642">
        <v>0</v>
      </c>
      <c r="L642">
        <v>170352</v>
      </c>
      <c r="M642">
        <v>0</v>
      </c>
      <c r="N642">
        <v>170352</v>
      </c>
    </row>
    <row r="643" spans="1:14" x14ac:dyDescent="0.25">
      <c r="A643">
        <v>10642</v>
      </c>
      <c r="B643" s="4">
        <v>45568</v>
      </c>
      <c r="C643" t="s">
        <v>33</v>
      </c>
      <c r="D643" t="s">
        <v>14</v>
      </c>
      <c r="E643" t="s">
        <v>15</v>
      </c>
      <c r="F643" t="s">
        <v>16</v>
      </c>
      <c r="G643">
        <v>39</v>
      </c>
      <c r="H643" t="str">
        <f t="shared" ref="H643:H706" si="10">IF(G643&lt;25,"18-24",IF(G643&lt;35,"25-34",IF(G643&lt;45,"35-44",IF(G643&lt;55,"45-54","55+"))))</f>
        <v>35-44</v>
      </c>
      <c r="I643">
        <v>4</v>
      </c>
      <c r="J643">
        <v>32103</v>
      </c>
      <c r="K643">
        <v>5</v>
      </c>
      <c r="L643">
        <v>128412</v>
      </c>
      <c r="M643">
        <v>6420.6</v>
      </c>
      <c r="N643">
        <v>121991.4</v>
      </c>
    </row>
    <row r="644" spans="1:14" x14ac:dyDescent="0.25">
      <c r="A644">
        <v>10643</v>
      </c>
      <c r="B644" s="4">
        <v>45569</v>
      </c>
      <c r="C644" t="s">
        <v>17</v>
      </c>
      <c r="D644" t="s">
        <v>14</v>
      </c>
      <c r="E644" t="s">
        <v>19</v>
      </c>
      <c r="F644" t="s">
        <v>24</v>
      </c>
      <c r="G644">
        <v>22</v>
      </c>
      <c r="H644" t="str">
        <f t="shared" si="10"/>
        <v>18-24</v>
      </c>
      <c r="I644">
        <v>6</v>
      </c>
      <c r="J644">
        <v>17728</v>
      </c>
      <c r="K644">
        <v>0</v>
      </c>
      <c r="L644">
        <v>106368</v>
      </c>
      <c r="M644">
        <v>0</v>
      </c>
      <c r="N644">
        <v>106368</v>
      </c>
    </row>
    <row r="645" spans="1:14" x14ac:dyDescent="0.25">
      <c r="A645">
        <v>10644</v>
      </c>
      <c r="B645" s="4">
        <v>45570</v>
      </c>
      <c r="C645" t="s">
        <v>33</v>
      </c>
      <c r="D645" t="s">
        <v>18</v>
      </c>
      <c r="E645" t="s">
        <v>19</v>
      </c>
      <c r="F645" t="s">
        <v>20</v>
      </c>
      <c r="G645">
        <v>61</v>
      </c>
      <c r="H645" t="str">
        <f t="shared" si="10"/>
        <v>55+</v>
      </c>
      <c r="I645">
        <v>3</v>
      </c>
      <c r="J645">
        <v>21917</v>
      </c>
      <c r="K645">
        <v>10</v>
      </c>
      <c r="L645">
        <v>65751</v>
      </c>
      <c r="M645">
        <v>6575.1</v>
      </c>
      <c r="N645">
        <v>59175.9</v>
      </c>
    </row>
    <row r="646" spans="1:14" x14ac:dyDescent="0.25">
      <c r="A646">
        <v>10645</v>
      </c>
      <c r="B646" s="4">
        <v>45571</v>
      </c>
      <c r="C646" t="s">
        <v>21</v>
      </c>
      <c r="D646" t="s">
        <v>22</v>
      </c>
      <c r="E646" t="s">
        <v>32</v>
      </c>
      <c r="F646" t="s">
        <v>28</v>
      </c>
      <c r="G646">
        <v>64</v>
      </c>
      <c r="H646" t="str">
        <f t="shared" si="10"/>
        <v>55+</v>
      </c>
      <c r="I646">
        <v>9</v>
      </c>
      <c r="J646">
        <v>26860</v>
      </c>
      <c r="K646">
        <v>20</v>
      </c>
      <c r="L646">
        <v>241740</v>
      </c>
      <c r="M646">
        <v>48348</v>
      </c>
      <c r="N646">
        <v>193392</v>
      </c>
    </row>
    <row r="647" spans="1:14" x14ac:dyDescent="0.25">
      <c r="A647">
        <v>10646</v>
      </c>
      <c r="B647" s="4">
        <v>45572</v>
      </c>
      <c r="C647" t="s">
        <v>17</v>
      </c>
      <c r="D647" t="s">
        <v>18</v>
      </c>
      <c r="E647" t="s">
        <v>25</v>
      </c>
      <c r="F647" t="s">
        <v>30</v>
      </c>
      <c r="G647">
        <v>63</v>
      </c>
      <c r="H647" t="str">
        <f t="shared" si="10"/>
        <v>55+</v>
      </c>
      <c r="I647">
        <v>8</v>
      </c>
      <c r="J647">
        <v>44151</v>
      </c>
      <c r="K647">
        <v>20</v>
      </c>
      <c r="L647">
        <v>353208</v>
      </c>
      <c r="M647">
        <v>70641.600000000006</v>
      </c>
      <c r="N647">
        <v>282566.40000000002</v>
      </c>
    </row>
    <row r="648" spans="1:14" x14ac:dyDescent="0.25">
      <c r="A648">
        <v>10647</v>
      </c>
      <c r="B648" s="4">
        <v>45573</v>
      </c>
      <c r="C648" t="s">
        <v>33</v>
      </c>
      <c r="D648" t="s">
        <v>27</v>
      </c>
      <c r="E648" t="s">
        <v>32</v>
      </c>
      <c r="F648" t="s">
        <v>24</v>
      </c>
      <c r="G648">
        <v>28</v>
      </c>
      <c r="H648" t="str">
        <f t="shared" si="10"/>
        <v>25-34</v>
      </c>
      <c r="I648">
        <v>9</v>
      </c>
      <c r="J648">
        <v>33407</v>
      </c>
      <c r="K648">
        <v>20</v>
      </c>
      <c r="L648">
        <v>300663</v>
      </c>
      <c r="M648">
        <v>60132.6</v>
      </c>
      <c r="N648">
        <v>240530.4</v>
      </c>
    </row>
    <row r="649" spans="1:14" x14ac:dyDescent="0.25">
      <c r="A649">
        <v>10648</v>
      </c>
      <c r="B649" s="4">
        <v>45574</v>
      </c>
      <c r="C649" t="s">
        <v>21</v>
      </c>
      <c r="D649" t="s">
        <v>18</v>
      </c>
      <c r="E649" t="s">
        <v>19</v>
      </c>
      <c r="F649" t="s">
        <v>30</v>
      </c>
      <c r="G649">
        <v>30</v>
      </c>
      <c r="H649" t="str">
        <f t="shared" si="10"/>
        <v>25-34</v>
      </c>
      <c r="I649">
        <v>4</v>
      </c>
      <c r="J649">
        <v>49898</v>
      </c>
      <c r="K649">
        <v>20</v>
      </c>
      <c r="L649">
        <v>199592</v>
      </c>
      <c r="M649">
        <v>39918.400000000001</v>
      </c>
      <c r="N649">
        <v>159673.60000000001</v>
      </c>
    </row>
    <row r="650" spans="1:14" x14ac:dyDescent="0.25">
      <c r="A650">
        <v>10649</v>
      </c>
      <c r="B650" s="4">
        <v>45575</v>
      </c>
      <c r="C650" t="s">
        <v>33</v>
      </c>
      <c r="D650" t="s">
        <v>18</v>
      </c>
      <c r="E650" t="s">
        <v>19</v>
      </c>
      <c r="F650" t="s">
        <v>24</v>
      </c>
      <c r="G650">
        <v>53</v>
      </c>
      <c r="H650" t="str">
        <f t="shared" si="10"/>
        <v>45-54</v>
      </c>
      <c r="I650">
        <v>1</v>
      </c>
      <c r="J650">
        <v>18516</v>
      </c>
      <c r="K650">
        <v>0</v>
      </c>
      <c r="L650">
        <v>18516</v>
      </c>
      <c r="M650">
        <v>0</v>
      </c>
      <c r="N650">
        <v>18516</v>
      </c>
    </row>
    <row r="651" spans="1:14" x14ac:dyDescent="0.25">
      <c r="A651">
        <v>10650</v>
      </c>
      <c r="B651" s="4">
        <v>45576</v>
      </c>
      <c r="C651" t="s">
        <v>21</v>
      </c>
      <c r="D651" t="s">
        <v>14</v>
      </c>
      <c r="E651" t="s">
        <v>32</v>
      </c>
      <c r="F651" t="s">
        <v>30</v>
      </c>
      <c r="G651">
        <v>35</v>
      </c>
      <c r="H651" t="str">
        <f t="shared" si="10"/>
        <v>35-44</v>
      </c>
      <c r="I651">
        <v>6</v>
      </c>
      <c r="J651">
        <v>3481</v>
      </c>
      <c r="K651">
        <v>10</v>
      </c>
      <c r="L651">
        <v>20886</v>
      </c>
      <c r="M651">
        <v>2088.6</v>
      </c>
      <c r="N651">
        <v>18797.400000000001</v>
      </c>
    </row>
    <row r="652" spans="1:14" x14ac:dyDescent="0.25">
      <c r="A652">
        <v>10651</v>
      </c>
      <c r="B652" s="4">
        <v>45577</v>
      </c>
      <c r="C652" t="s">
        <v>21</v>
      </c>
      <c r="D652" t="s">
        <v>18</v>
      </c>
      <c r="E652" t="s">
        <v>15</v>
      </c>
      <c r="F652" t="s">
        <v>20</v>
      </c>
      <c r="G652">
        <v>29</v>
      </c>
      <c r="H652" t="str">
        <f t="shared" si="10"/>
        <v>25-34</v>
      </c>
      <c r="I652">
        <v>4</v>
      </c>
      <c r="J652">
        <v>37484</v>
      </c>
      <c r="K652">
        <v>20</v>
      </c>
      <c r="L652">
        <v>149936</v>
      </c>
      <c r="M652">
        <v>29987.200000000001</v>
      </c>
      <c r="N652">
        <v>119948.8</v>
      </c>
    </row>
    <row r="653" spans="1:14" x14ac:dyDescent="0.25">
      <c r="A653">
        <v>10652</v>
      </c>
      <c r="B653" s="4">
        <v>45578</v>
      </c>
      <c r="C653" t="s">
        <v>21</v>
      </c>
      <c r="D653" t="s">
        <v>29</v>
      </c>
      <c r="E653" t="s">
        <v>19</v>
      </c>
      <c r="F653" t="s">
        <v>20</v>
      </c>
      <c r="G653">
        <v>22</v>
      </c>
      <c r="H653" t="str">
        <f t="shared" si="10"/>
        <v>18-24</v>
      </c>
      <c r="I653">
        <v>1</v>
      </c>
      <c r="J653">
        <v>27906</v>
      </c>
      <c r="K653">
        <v>0</v>
      </c>
      <c r="L653">
        <v>27906</v>
      </c>
      <c r="M653">
        <v>0</v>
      </c>
      <c r="N653">
        <v>27906</v>
      </c>
    </row>
    <row r="654" spans="1:14" x14ac:dyDescent="0.25">
      <c r="A654">
        <v>10653</v>
      </c>
      <c r="B654" s="4">
        <v>45579</v>
      </c>
      <c r="C654" t="s">
        <v>13</v>
      </c>
      <c r="D654" t="s">
        <v>14</v>
      </c>
      <c r="E654" t="s">
        <v>19</v>
      </c>
      <c r="F654" t="s">
        <v>28</v>
      </c>
      <c r="G654">
        <v>41</v>
      </c>
      <c r="H654" t="str">
        <f t="shared" si="10"/>
        <v>35-44</v>
      </c>
      <c r="I654">
        <v>1</v>
      </c>
      <c r="J654">
        <v>39235</v>
      </c>
      <c r="K654">
        <v>15</v>
      </c>
      <c r="L654">
        <v>39235</v>
      </c>
      <c r="M654">
        <v>5885.25</v>
      </c>
      <c r="N654">
        <v>33349.75</v>
      </c>
    </row>
    <row r="655" spans="1:14" x14ac:dyDescent="0.25">
      <c r="A655">
        <v>10654</v>
      </c>
      <c r="B655" s="4">
        <v>45580</v>
      </c>
      <c r="C655" t="s">
        <v>17</v>
      </c>
      <c r="D655" t="s">
        <v>14</v>
      </c>
      <c r="E655" t="s">
        <v>15</v>
      </c>
      <c r="F655" t="s">
        <v>24</v>
      </c>
      <c r="G655">
        <v>44</v>
      </c>
      <c r="H655" t="str">
        <f t="shared" si="10"/>
        <v>35-44</v>
      </c>
      <c r="I655">
        <v>5</v>
      </c>
      <c r="J655">
        <v>12745</v>
      </c>
      <c r="K655">
        <v>20</v>
      </c>
      <c r="L655">
        <v>63725</v>
      </c>
      <c r="M655">
        <v>12745</v>
      </c>
      <c r="N655">
        <v>50980</v>
      </c>
    </row>
    <row r="656" spans="1:14" x14ac:dyDescent="0.25">
      <c r="A656">
        <v>10655</v>
      </c>
      <c r="B656" s="4">
        <v>45581</v>
      </c>
      <c r="C656" t="s">
        <v>21</v>
      </c>
      <c r="D656" t="s">
        <v>14</v>
      </c>
      <c r="E656" t="s">
        <v>32</v>
      </c>
      <c r="F656" t="s">
        <v>24</v>
      </c>
      <c r="G656">
        <v>19</v>
      </c>
      <c r="H656" t="str">
        <f t="shared" si="10"/>
        <v>18-24</v>
      </c>
      <c r="I656">
        <v>4</v>
      </c>
      <c r="J656">
        <v>33320</v>
      </c>
      <c r="K656">
        <v>20</v>
      </c>
      <c r="L656">
        <v>133280</v>
      </c>
      <c r="M656">
        <v>26656</v>
      </c>
      <c r="N656">
        <v>106624</v>
      </c>
    </row>
    <row r="657" spans="1:14" x14ac:dyDescent="0.25">
      <c r="A657">
        <v>10656</v>
      </c>
      <c r="B657" s="4">
        <v>45582</v>
      </c>
      <c r="C657" t="s">
        <v>33</v>
      </c>
      <c r="D657" t="s">
        <v>14</v>
      </c>
      <c r="E657" t="s">
        <v>15</v>
      </c>
      <c r="F657" t="s">
        <v>31</v>
      </c>
      <c r="G657">
        <v>34</v>
      </c>
      <c r="H657" t="str">
        <f t="shared" si="10"/>
        <v>25-34</v>
      </c>
      <c r="I657">
        <v>5</v>
      </c>
      <c r="J657">
        <v>36375</v>
      </c>
      <c r="K657">
        <v>5</v>
      </c>
      <c r="L657">
        <v>181875</v>
      </c>
      <c r="M657">
        <v>9093.75</v>
      </c>
      <c r="N657">
        <v>172781.25</v>
      </c>
    </row>
    <row r="658" spans="1:14" x14ac:dyDescent="0.25">
      <c r="A658">
        <v>10657</v>
      </c>
      <c r="B658" s="4">
        <v>45583</v>
      </c>
      <c r="C658" t="s">
        <v>33</v>
      </c>
      <c r="D658" t="s">
        <v>22</v>
      </c>
      <c r="E658" t="s">
        <v>32</v>
      </c>
      <c r="F658" t="s">
        <v>23</v>
      </c>
      <c r="G658">
        <v>29</v>
      </c>
      <c r="H658" t="str">
        <f t="shared" si="10"/>
        <v>25-34</v>
      </c>
      <c r="I658">
        <v>5</v>
      </c>
      <c r="J658">
        <v>7802</v>
      </c>
      <c r="K658">
        <v>10</v>
      </c>
      <c r="L658">
        <v>39010</v>
      </c>
      <c r="M658">
        <v>3901</v>
      </c>
      <c r="N658">
        <v>35109</v>
      </c>
    </row>
    <row r="659" spans="1:14" x14ac:dyDescent="0.25">
      <c r="A659">
        <v>10658</v>
      </c>
      <c r="B659" s="4">
        <v>45584</v>
      </c>
      <c r="C659" t="s">
        <v>21</v>
      </c>
      <c r="D659" t="s">
        <v>29</v>
      </c>
      <c r="E659" t="s">
        <v>15</v>
      </c>
      <c r="F659" t="s">
        <v>26</v>
      </c>
      <c r="G659">
        <v>55</v>
      </c>
      <c r="H659" t="str">
        <f t="shared" si="10"/>
        <v>55+</v>
      </c>
      <c r="I659">
        <v>6</v>
      </c>
      <c r="J659">
        <v>42488</v>
      </c>
      <c r="K659">
        <v>5</v>
      </c>
      <c r="L659">
        <v>254928</v>
      </c>
      <c r="M659">
        <v>12746.4</v>
      </c>
      <c r="N659">
        <v>242181.6</v>
      </c>
    </row>
    <row r="660" spans="1:14" x14ac:dyDescent="0.25">
      <c r="A660">
        <v>10659</v>
      </c>
      <c r="B660" s="4">
        <v>45585</v>
      </c>
      <c r="C660" t="s">
        <v>33</v>
      </c>
      <c r="D660" t="s">
        <v>22</v>
      </c>
      <c r="E660" t="s">
        <v>19</v>
      </c>
      <c r="F660" t="s">
        <v>16</v>
      </c>
      <c r="G660">
        <v>43</v>
      </c>
      <c r="H660" t="str">
        <f t="shared" si="10"/>
        <v>35-44</v>
      </c>
      <c r="I660">
        <v>3</v>
      </c>
      <c r="J660">
        <v>49924</v>
      </c>
      <c r="K660">
        <v>5</v>
      </c>
      <c r="L660">
        <v>149772</v>
      </c>
      <c r="M660">
        <v>7488.6</v>
      </c>
      <c r="N660">
        <v>142283.4</v>
      </c>
    </row>
    <row r="661" spans="1:14" x14ac:dyDescent="0.25">
      <c r="A661">
        <v>10660</v>
      </c>
      <c r="B661" s="4">
        <v>45586</v>
      </c>
      <c r="C661" t="s">
        <v>33</v>
      </c>
      <c r="D661" t="s">
        <v>27</v>
      </c>
      <c r="E661" t="s">
        <v>25</v>
      </c>
      <c r="F661" t="s">
        <v>20</v>
      </c>
      <c r="G661">
        <v>42</v>
      </c>
      <c r="H661" t="str">
        <f t="shared" si="10"/>
        <v>35-44</v>
      </c>
      <c r="I661">
        <v>8</v>
      </c>
      <c r="J661">
        <v>34528</v>
      </c>
      <c r="K661">
        <v>15</v>
      </c>
      <c r="L661">
        <v>276224</v>
      </c>
      <c r="M661">
        <v>41433.599999999999</v>
      </c>
      <c r="N661">
        <v>234790.39999999999</v>
      </c>
    </row>
    <row r="662" spans="1:14" x14ac:dyDescent="0.25">
      <c r="A662">
        <v>10661</v>
      </c>
      <c r="B662" s="4">
        <v>45587</v>
      </c>
      <c r="C662" t="s">
        <v>17</v>
      </c>
      <c r="D662" t="s">
        <v>22</v>
      </c>
      <c r="E662" t="s">
        <v>25</v>
      </c>
      <c r="F662" t="s">
        <v>30</v>
      </c>
      <c r="G662">
        <v>34</v>
      </c>
      <c r="H662" t="str">
        <f t="shared" si="10"/>
        <v>25-34</v>
      </c>
      <c r="I662">
        <v>4</v>
      </c>
      <c r="J662">
        <v>34902</v>
      </c>
      <c r="K662">
        <v>0</v>
      </c>
      <c r="L662">
        <v>139608</v>
      </c>
      <c r="M662">
        <v>0</v>
      </c>
      <c r="N662">
        <v>139608</v>
      </c>
    </row>
    <row r="663" spans="1:14" x14ac:dyDescent="0.25">
      <c r="A663">
        <v>10662</v>
      </c>
      <c r="B663" s="4">
        <v>45588</v>
      </c>
      <c r="C663" t="s">
        <v>13</v>
      </c>
      <c r="D663" t="s">
        <v>14</v>
      </c>
      <c r="E663" t="s">
        <v>19</v>
      </c>
      <c r="F663" t="s">
        <v>28</v>
      </c>
      <c r="G663">
        <v>33</v>
      </c>
      <c r="H663" t="str">
        <f t="shared" si="10"/>
        <v>25-34</v>
      </c>
      <c r="I663">
        <v>5</v>
      </c>
      <c r="J663">
        <v>20419</v>
      </c>
      <c r="K663">
        <v>10</v>
      </c>
      <c r="L663">
        <v>102095</v>
      </c>
      <c r="M663">
        <v>10209.5</v>
      </c>
      <c r="N663">
        <v>91885.5</v>
      </c>
    </row>
    <row r="664" spans="1:14" x14ac:dyDescent="0.25">
      <c r="A664">
        <v>10663</v>
      </c>
      <c r="B664" s="4">
        <v>45589</v>
      </c>
      <c r="C664" t="s">
        <v>21</v>
      </c>
      <c r="D664" t="s">
        <v>29</v>
      </c>
      <c r="E664" t="s">
        <v>19</v>
      </c>
      <c r="F664" t="s">
        <v>20</v>
      </c>
      <c r="G664">
        <v>59</v>
      </c>
      <c r="H664" t="str">
        <f t="shared" si="10"/>
        <v>55+</v>
      </c>
      <c r="I664">
        <v>9</v>
      </c>
      <c r="J664">
        <v>23013</v>
      </c>
      <c r="K664">
        <v>20</v>
      </c>
      <c r="L664">
        <v>207117</v>
      </c>
      <c r="M664">
        <v>41423.4</v>
      </c>
      <c r="N664">
        <v>165693.6</v>
      </c>
    </row>
    <row r="665" spans="1:14" x14ac:dyDescent="0.25">
      <c r="A665">
        <v>10664</v>
      </c>
      <c r="B665" s="4">
        <v>45590</v>
      </c>
      <c r="C665" t="s">
        <v>17</v>
      </c>
      <c r="D665" t="s">
        <v>22</v>
      </c>
      <c r="E665" t="s">
        <v>15</v>
      </c>
      <c r="F665" t="s">
        <v>20</v>
      </c>
      <c r="G665">
        <v>38</v>
      </c>
      <c r="H665" t="str">
        <f t="shared" si="10"/>
        <v>35-44</v>
      </c>
      <c r="I665">
        <v>9</v>
      </c>
      <c r="J665">
        <v>33673</v>
      </c>
      <c r="K665">
        <v>5</v>
      </c>
      <c r="L665">
        <v>303057</v>
      </c>
      <c r="M665">
        <v>15152.85</v>
      </c>
      <c r="N665">
        <v>287904.15000000002</v>
      </c>
    </row>
    <row r="666" spans="1:14" x14ac:dyDescent="0.25">
      <c r="A666">
        <v>10665</v>
      </c>
      <c r="B666" s="4">
        <v>45591</v>
      </c>
      <c r="C666" t="s">
        <v>21</v>
      </c>
      <c r="D666" t="s">
        <v>22</v>
      </c>
      <c r="E666" t="s">
        <v>25</v>
      </c>
      <c r="F666" t="s">
        <v>26</v>
      </c>
      <c r="G666">
        <v>37</v>
      </c>
      <c r="H666" t="str">
        <f t="shared" si="10"/>
        <v>35-44</v>
      </c>
      <c r="I666">
        <v>2</v>
      </c>
      <c r="J666">
        <v>6396</v>
      </c>
      <c r="K666">
        <v>10</v>
      </c>
      <c r="L666">
        <v>12792</v>
      </c>
      <c r="M666">
        <v>1279.2</v>
      </c>
      <c r="N666">
        <v>11512.8</v>
      </c>
    </row>
    <row r="667" spans="1:14" x14ac:dyDescent="0.25">
      <c r="A667">
        <v>10666</v>
      </c>
      <c r="B667" s="4">
        <v>45592</v>
      </c>
      <c r="C667" t="s">
        <v>21</v>
      </c>
      <c r="D667" t="s">
        <v>29</v>
      </c>
      <c r="E667" t="s">
        <v>32</v>
      </c>
      <c r="F667" t="s">
        <v>31</v>
      </c>
      <c r="G667">
        <v>63</v>
      </c>
      <c r="H667" t="str">
        <f t="shared" si="10"/>
        <v>55+</v>
      </c>
      <c r="I667">
        <v>3</v>
      </c>
      <c r="J667">
        <v>26596</v>
      </c>
      <c r="K667">
        <v>10</v>
      </c>
      <c r="L667">
        <v>79788</v>
      </c>
      <c r="M667">
        <v>7978.8</v>
      </c>
      <c r="N667">
        <v>71809.2</v>
      </c>
    </row>
    <row r="668" spans="1:14" x14ac:dyDescent="0.25">
      <c r="A668">
        <v>10667</v>
      </c>
      <c r="B668" s="4">
        <v>45593</v>
      </c>
      <c r="C668" t="s">
        <v>17</v>
      </c>
      <c r="D668" t="s">
        <v>22</v>
      </c>
      <c r="E668" t="s">
        <v>19</v>
      </c>
      <c r="F668" t="s">
        <v>30</v>
      </c>
      <c r="G668">
        <v>51</v>
      </c>
      <c r="H668" t="str">
        <f t="shared" si="10"/>
        <v>45-54</v>
      </c>
      <c r="I668">
        <v>7</v>
      </c>
      <c r="J668">
        <v>7127</v>
      </c>
      <c r="K668">
        <v>20</v>
      </c>
      <c r="L668">
        <v>49889</v>
      </c>
      <c r="M668">
        <v>9977.7999999999993</v>
      </c>
      <c r="N668">
        <v>39911.199999999997</v>
      </c>
    </row>
    <row r="669" spans="1:14" x14ac:dyDescent="0.25">
      <c r="A669">
        <v>10668</v>
      </c>
      <c r="B669" s="4">
        <v>45594</v>
      </c>
      <c r="C669" t="s">
        <v>21</v>
      </c>
      <c r="D669" t="s">
        <v>29</v>
      </c>
      <c r="E669" t="s">
        <v>32</v>
      </c>
      <c r="F669" t="s">
        <v>28</v>
      </c>
      <c r="G669">
        <v>19</v>
      </c>
      <c r="H669" t="str">
        <f t="shared" si="10"/>
        <v>18-24</v>
      </c>
      <c r="I669">
        <v>4</v>
      </c>
      <c r="J669">
        <v>44138</v>
      </c>
      <c r="K669">
        <v>10</v>
      </c>
      <c r="L669">
        <v>176552</v>
      </c>
      <c r="M669">
        <v>17655.2</v>
      </c>
      <c r="N669">
        <v>158896.79999999999</v>
      </c>
    </row>
    <row r="670" spans="1:14" x14ac:dyDescent="0.25">
      <c r="A670">
        <v>10669</v>
      </c>
      <c r="B670" s="4">
        <v>45595</v>
      </c>
      <c r="C670" t="s">
        <v>17</v>
      </c>
      <c r="D670" t="s">
        <v>27</v>
      </c>
      <c r="E670" t="s">
        <v>19</v>
      </c>
      <c r="F670" t="s">
        <v>24</v>
      </c>
      <c r="G670">
        <v>47</v>
      </c>
      <c r="H670" t="str">
        <f t="shared" si="10"/>
        <v>45-54</v>
      </c>
      <c r="I670">
        <v>4</v>
      </c>
      <c r="J670">
        <v>18087</v>
      </c>
      <c r="K670">
        <v>15</v>
      </c>
      <c r="L670">
        <v>72348</v>
      </c>
      <c r="M670">
        <v>10852.2</v>
      </c>
      <c r="N670">
        <v>61495.8</v>
      </c>
    </row>
    <row r="671" spans="1:14" x14ac:dyDescent="0.25">
      <c r="A671">
        <v>10670</v>
      </c>
      <c r="B671" s="4">
        <v>45596</v>
      </c>
      <c r="C671" t="s">
        <v>17</v>
      </c>
      <c r="D671" t="s">
        <v>22</v>
      </c>
      <c r="E671" t="s">
        <v>15</v>
      </c>
      <c r="F671" t="s">
        <v>24</v>
      </c>
      <c r="G671">
        <v>56</v>
      </c>
      <c r="H671" t="str">
        <f t="shared" si="10"/>
        <v>55+</v>
      </c>
      <c r="I671">
        <v>6</v>
      </c>
      <c r="J671">
        <v>14901</v>
      </c>
      <c r="K671">
        <v>10</v>
      </c>
      <c r="L671">
        <v>89406</v>
      </c>
      <c r="M671">
        <v>8940.6</v>
      </c>
      <c r="N671">
        <v>80465.399999999994</v>
      </c>
    </row>
    <row r="672" spans="1:14" x14ac:dyDescent="0.25">
      <c r="A672">
        <v>10671</v>
      </c>
      <c r="B672" s="4">
        <v>45597</v>
      </c>
      <c r="C672" t="s">
        <v>17</v>
      </c>
      <c r="D672" t="s">
        <v>29</v>
      </c>
      <c r="E672" t="s">
        <v>19</v>
      </c>
      <c r="F672" t="s">
        <v>20</v>
      </c>
      <c r="G672">
        <v>37</v>
      </c>
      <c r="H672" t="str">
        <f t="shared" si="10"/>
        <v>35-44</v>
      </c>
      <c r="I672">
        <v>8</v>
      </c>
      <c r="J672">
        <v>20840</v>
      </c>
      <c r="K672">
        <v>10</v>
      </c>
      <c r="L672">
        <v>166720</v>
      </c>
      <c r="M672">
        <v>16672</v>
      </c>
      <c r="N672">
        <v>150048</v>
      </c>
    </row>
    <row r="673" spans="1:14" x14ac:dyDescent="0.25">
      <c r="A673">
        <v>10672</v>
      </c>
      <c r="B673" s="4">
        <v>45598</v>
      </c>
      <c r="C673" t="s">
        <v>21</v>
      </c>
      <c r="D673" t="s">
        <v>14</v>
      </c>
      <c r="E673" t="s">
        <v>25</v>
      </c>
      <c r="F673" t="s">
        <v>30</v>
      </c>
      <c r="G673">
        <v>23</v>
      </c>
      <c r="H673" t="str">
        <f t="shared" si="10"/>
        <v>18-24</v>
      </c>
      <c r="I673">
        <v>7</v>
      </c>
      <c r="J673">
        <v>45170</v>
      </c>
      <c r="K673">
        <v>20</v>
      </c>
      <c r="L673">
        <v>316190</v>
      </c>
      <c r="M673">
        <v>63238</v>
      </c>
      <c r="N673">
        <v>252952</v>
      </c>
    </row>
    <row r="674" spans="1:14" x14ac:dyDescent="0.25">
      <c r="A674">
        <v>10673</v>
      </c>
      <c r="B674" s="4">
        <v>45599</v>
      </c>
      <c r="C674" t="s">
        <v>21</v>
      </c>
      <c r="D674" t="s">
        <v>29</v>
      </c>
      <c r="E674" t="s">
        <v>19</v>
      </c>
      <c r="F674" t="s">
        <v>30</v>
      </c>
      <c r="G674">
        <v>45</v>
      </c>
      <c r="H674" t="str">
        <f t="shared" si="10"/>
        <v>45-54</v>
      </c>
      <c r="I674">
        <v>1</v>
      </c>
      <c r="J674">
        <v>35861</v>
      </c>
      <c r="K674">
        <v>0</v>
      </c>
      <c r="L674">
        <v>35861</v>
      </c>
      <c r="M674">
        <v>0</v>
      </c>
      <c r="N674">
        <v>35861</v>
      </c>
    </row>
    <row r="675" spans="1:14" x14ac:dyDescent="0.25">
      <c r="A675">
        <v>10674</v>
      </c>
      <c r="B675" s="4">
        <v>45600</v>
      </c>
      <c r="C675" t="s">
        <v>33</v>
      </c>
      <c r="D675" t="s">
        <v>29</v>
      </c>
      <c r="E675" t="s">
        <v>32</v>
      </c>
      <c r="F675" t="s">
        <v>26</v>
      </c>
      <c r="G675">
        <v>18</v>
      </c>
      <c r="H675" t="str">
        <f t="shared" si="10"/>
        <v>18-24</v>
      </c>
      <c r="I675">
        <v>7</v>
      </c>
      <c r="J675">
        <v>24825</v>
      </c>
      <c r="K675">
        <v>10</v>
      </c>
      <c r="L675">
        <v>173775</v>
      </c>
      <c r="M675">
        <v>17377.5</v>
      </c>
      <c r="N675">
        <v>156397.5</v>
      </c>
    </row>
    <row r="676" spans="1:14" x14ac:dyDescent="0.25">
      <c r="A676">
        <v>10675</v>
      </c>
      <c r="B676" s="4">
        <v>45601</v>
      </c>
      <c r="C676" t="s">
        <v>17</v>
      </c>
      <c r="D676" t="s">
        <v>14</v>
      </c>
      <c r="E676" t="s">
        <v>19</v>
      </c>
      <c r="F676" t="s">
        <v>30</v>
      </c>
      <c r="G676">
        <v>37</v>
      </c>
      <c r="H676" t="str">
        <f t="shared" si="10"/>
        <v>35-44</v>
      </c>
      <c r="I676">
        <v>7</v>
      </c>
      <c r="J676">
        <v>41868</v>
      </c>
      <c r="K676">
        <v>10</v>
      </c>
      <c r="L676">
        <v>293076</v>
      </c>
      <c r="M676">
        <v>29307.599999999999</v>
      </c>
      <c r="N676">
        <v>263768.40000000002</v>
      </c>
    </row>
    <row r="677" spans="1:14" x14ac:dyDescent="0.25">
      <c r="A677">
        <v>10676</v>
      </c>
      <c r="B677" s="4">
        <v>45602</v>
      </c>
      <c r="C677" t="s">
        <v>13</v>
      </c>
      <c r="D677" t="s">
        <v>22</v>
      </c>
      <c r="E677" t="s">
        <v>15</v>
      </c>
      <c r="F677" t="s">
        <v>30</v>
      </c>
      <c r="G677">
        <v>58</v>
      </c>
      <c r="H677" t="str">
        <f t="shared" si="10"/>
        <v>55+</v>
      </c>
      <c r="I677">
        <v>6</v>
      </c>
      <c r="J677">
        <v>32181</v>
      </c>
      <c r="K677">
        <v>10</v>
      </c>
      <c r="L677">
        <v>193086</v>
      </c>
      <c r="M677">
        <v>19308.599999999999</v>
      </c>
      <c r="N677">
        <v>173777.4</v>
      </c>
    </row>
    <row r="678" spans="1:14" x14ac:dyDescent="0.25">
      <c r="A678">
        <v>10677</v>
      </c>
      <c r="B678" s="4">
        <v>45603</v>
      </c>
      <c r="C678" t="s">
        <v>17</v>
      </c>
      <c r="D678" t="s">
        <v>14</v>
      </c>
      <c r="E678" t="s">
        <v>15</v>
      </c>
      <c r="F678" t="s">
        <v>24</v>
      </c>
      <c r="G678">
        <v>29</v>
      </c>
      <c r="H678" t="str">
        <f t="shared" si="10"/>
        <v>25-34</v>
      </c>
      <c r="I678">
        <v>7</v>
      </c>
      <c r="J678">
        <v>49781</v>
      </c>
      <c r="K678">
        <v>10</v>
      </c>
      <c r="L678">
        <v>348467</v>
      </c>
      <c r="M678">
        <v>34846.699999999997</v>
      </c>
      <c r="N678">
        <v>313620.3</v>
      </c>
    </row>
    <row r="679" spans="1:14" x14ac:dyDescent="0.25">
      <c r="A679">
        <v>10678</v>
      </c>
      <c r="B679" s="4">
        <v>45604</v>
      </c>
      <c r="C679" t="s">
        <v>13</v>
      </c>
      <c r="D679" t="s">
        <v>22</v>
      </c>
      <c r="E679" t="s">
        <v>32</v>
      </c>
      <c r="F679" t="s">
        <v>30</v>
      </c>
      <c r="G679">
        <v>23</v>
      </c>
      <c r="H679" t="str">
        <f t="shared" si="10"/>
        <v>18-24</v>
      </c>
      <c r="I679">
        <v>5</v>
      </c>
      <c r="J679">
        <v>33616</v>
      </c>
      <c r="K679">
        <v>0</v>
      </c>
      <c r="L679">
        <v>168080</v>
      </c>
      <c r="M679">
        <v>0</v>
      </c>
      <c r="N679">
        <v>168080</v>
      </c>
    </row>
    <row r="680" spans="1:14" x14ac:dyDescent="0.25">
      <c r="A680">
        <v>10679</v>
      </c>
      <c r="B680" s="4">
        <v>45605</v>
      </c>
      <c r="C680" t="s">
        <v>13</v>
      </c>
      <c r="D680" t="s">
        <v>18</v>
      </c>
      <c r="E680" t="s">
        <v>15</v>
      </c>
      <c r="F680" t="s">
        <v>26</v>
      </c>
      <c r="G680">
        <v>24</v>
      </c>
      <c r="H680" t="str">
        <f t="shared" si="10"/>
        <v>18-24</v>
      </c>
      <c r="I680">
        <v>4</v>
      </c>
      <c r="J680">
        <v>26534</v>
      </c>
      <c r="K680">
        <v>15</v>
      </c>
      <c r="L680">
        <v>106136</v>
      </c>
      <c r="M680">
        <v>15920.4</v>
      </c>
      <c r="N680">
        <v>90215.6</v>
      </c>
    </row>
    <row r="681" spans="1:14" x14ac:dyDescent="0.25">
      <c r="A681">
        <v>10680</v>
      </c>
      <c r="B681" s="4">
        <v>45606</v>
      </c>
      <c r="C681" t="s">
        <v>21</v>
      </c>
      <c r="D681" t="s">
        <v>29</v>
      </c>
      <c r="E681" t="s">
        <v>25</v>
      </c>
      <c r="F681" t="s">
        <v>23</v>
      </c>
      <c r="G681">
        <v>47</v>
      </c>
      <c r="H681" t="str">
        <f t="shared" si="10"/>
        <v>45-54</v>
      </c>
      <c r="I681">
        <v>5</v>
      </c>
      <c r="J681">
        <v>23058</v>
      </c>
      <c r="K681">
        <v>5</v>
      </c>
      <c r="L681">
        <v>115290</v>
      </c>
      <c r="M681">
        <v>5764.5</v>
      </c>
      <c r="N681">
        <v>109525.5</v>
      </c>
    </row>
    <row r="682" spans="1:14" x14ac:dyDescent="0.25">
      <c r="A682">
        <v>10681</v>
      </c>
      <c r="B682" s="4">
        <v>45607</v>
      </c>
      <c r="C682" t="s">
        <v>17</v>
      </c>
      <c r="D682" t="s">
        <v>18</v>
      </c>
      <c r="E682" t="s">
        <v>25</v>
      </c>
      <c r="F682" t="s">
        <v>20</v>
      </c>
      <c r="G682">
        <v>53</v>
      </c>
      <c r="H682" t="str">
        <f t="shared" si="10"/>
        <v>45-54</v>
      </c>
      <c r="I682">
        <v>1</v>
      </c>
      <c r="J682">
        <v>48992</v>
      </c>
      <c r="K682">
        <v>10</v>
      </c>
      <c r="L682">
        <v>48992</v>
      </c>
      <c r="M682">
        <v>4899.2</v>
      </c>
      <c r="N682">
        <v>44092.800000000003</v>
      </c>
    </row>
    <row r="683" spans="1:14" x14ac:dyDescent="0.25">
      <c r="A683">
        <v>10682</v>
      </c>
      <c r="B683" s="4">
        <v>45608</v>
      </c>
      <c r="C683" t="s">
        <v>21</v>
      </c>
      <c r="D683" t="s">
        <v>18</v>
      </c>
      <c r="E683" t="s">
        <v>15</v>
      </c>
      <c r="F683" t="s">
        <v>26</v>
      </c>
      <c r="G683">
        <v>40</v>
      </c>
      <c r="H683" t="str">
        <f t="shared" si="10"/>
        <v>35-44</v>
      </c>
      <c r="I683">
        <v>3</v>
      </c>
      <c r="J683">
        <v>3204</v>
      </c>
      <c r="K683">
        <v>10</v>
      </c>
      <c r="L683">
        <v>9612</v>
      </c>
      <c r="M683">
        <v>961.2</v>
      </c>
      <c r="N683">
        <v>8650.7999999999993</v>
      </c>
    </row>
    <row r="684" spans="1:14" x14ac:dyDescent="0.25">
      <c r="A684">
        <v>10683</v>
      </c>
      <c r="B684" s="4">
        <v>45609</v>
      </c>
      <c r="C684" t="s">
        <v>17</v>
      </c>
      <c r="D684" t="s">
        <v>27</v>
      </c>
      <c r="E684" t="s">
        <v>15</v>
      </c>
      <c r="F684" t="s">
        <v>30</v>
      </c>
      <c r="G684">
        <v>35</v>
      </c>
      <c r="H684" t="str">
        <f t="shared" si="10"/>
        <v>35-44</v>
      </c>
      <c r="I684">
        <v>5</v>
      </c>
      <c r="J684">
        <v>43372</v>
      </c>
      <c r="K684">
        <v>20</v>
      </c>
      <c r="L684">
        <v>216860</v>
      </c>
      <c r="M684">
        <v>43372</v>
      </c>
      <c r="N684">
        <v>173488</v>
      </c>
    </row>
    <row r="685" spans="1:14" x14ac:dyDescent="0.25">
      <c r="A685">
        <v>10684</v>
      </c>
      <c r="B685" s="4">
        <v>45610</v>
      </c>
      <c r="C685" t="s">
        <v>33</v>
      </c>
      <c r="D685" t="s">
        <v>14</v>
      </c>
      <c r="E685" t="s">
        <v>25</v>
      </c>
      <c r="F685" t="s">
        <v>16</v>
      </c>
      <c r="G685">
        <v>46</v>
      </c>
      <c r="H685" t="str">
        <f t="shared" si="10"/>
        <v>45-54</v>
      </c>
      <c r="I685">
        <v>2</v>
      </c>
      <c r="J685">
        <v>2948</v>
      </c>
      <c r="K685">
        <v>0</v>
      </c>
      <c r="L685">
        <v>5896</v>
      </c>
      <c r="M685">
        <v>0</v>
      </c>
      <c r="N685">
        <v>5896</v>
      </c>
    </row>
    <row r="686" spans="1:14" x14ac:dyDescent="0.25">
      <c r="A686">
        <v>10685</v>
      </c>
      <c r="B686" s="4">
        <v>45611</v>
      </c>
      <c r="C686" t="s">
        <v>33</v>
      </c>
      <c r="D686" t="s">
        <v>14</v>
      </c>
      <c r="E686" t="s">
        <v>32</v>
      </c>
      <c r="F686" t="s">
        <v>23</v>
      </c>
      <c r="G686">
        <v>51</v>
      </c>
      <c r="H686" t="str">
        <f t="shared" si="10"/>
        <v>45-54</v>
      </c>
      <c r="I686">
        <v>6</v>
      </c>
      <c r="J686">
        <v>29187</v>
      </c>
      <c r="K686">
        <v>5</v>
      </c>
      <c r="L686">
        <v>175122</v>
      </c>
      <c r="M686">
        <v>8756.1</v>
      </c>
      <c r="N686">
        <v>166365.9</v>
      </c>
    </row>
    <row r="687" spans="1:14" x14ac:dyDescent="0.25">
      <c r="A687">
        <v>10686</v>
      </c>
      <c r="B687" s="4">
        <v>45612</v>
      </c>
      <c r="C687" t="s">
        <v>33</v>
      </c>
      <c r="D687" t="s">
        <v>14</v>
      </c>
      <c r="E687" t="s">
        <v>15</v>
      </c>
      <c r="F687" t="s">
        <v>26</v>
      </c>
      <c r="G687">
        <v>27</v>
      </c>
      <c r="H687" t="str">
        <f t="shared" si="10"/>
        <v>25-34</v>
      </c>
      <c r="I687">
        <v>8</v>
      </c>
      <c r="J687">
        <v>9426</v>
      </c>
      <c r="K687">
        <v>20</v>
      </c>
      <c r="L687">
        <v>75408</v>
      </c>
      <c r="M687">
        <v>15081.6</v>
      </c>
      <c r="N687">
        <v>60326.400000000001</v>
      </c>
    </row>
    <row r="688" spans="1:14" x14ac:dyDescent="0.25">
      <c r="A688">
        <v>10687</v>
      </c>
      <c r="B688" s="4">
        <v>45613</v>
      </c>
      <c r="C688" t="s">
        <v>33</v>
      </c>
      <c r="D688" t="s">
        <v>29</v>
      </c>
      <c r="E688" t="s">
        <v>25</v>
      </c>
      <c r="F688" t="s">
        <v>23</v>
      </c>
      <c r="G688">
        <v>38</v>
      </c>
      <c r="H688" t="str">
        <f t="shared" si="10"/>
        <v>35-44</v>
      </c>
      <c r="I688">
        <v>9</v>
      </c>
      <c r="J688">
        <v>33567</v>
      </c>
      <c r="K688">
        <v>5</v>
      </c>
      <c r="L688">
        <v>302103</v>
      </c>
      <c r="M688">
        <v>15105.15</v>
      </c>
      <c r="N688">
        <v>286997.84999999998</v>
      </c>
    </row>
    <row r="689" spans="1:14" x14ac:dyDescent="0.25">
      <c r="A689">
        <v>10688</v>
      </c>
      <c r="B689" s="4">
        <v>45614</v>
      </c>
      <c r="C689" t="s">
        <v>33</v>
      </c>
      <c r="D689" t="s">
        <v>14</v>
      </c>
      <c r="E689" t="s">
        <v>19</v>
      </c>
      <c r="F689" t="s">
        <v>28</v>
      </c>
      <c r="G689">
        <v>47</v>
      </c>
      <c r="H689" t="str">
        <f t="shared" si="10"/>
        <v>45-54</v>
      </c>
      <c r="I689">
        <v>7</v>
      </c>
      <c r="J689">
        <v>47581</v>
      </c>
      <c r="K689">
        <v>5</v>
      </c>
      <c r="L689">
        <v>333067</v>
      </c>
      <c r="M689">
        <v>16653.349999999999</v>
      </c>
      <c r="N689">
        <v>316413.65000000002</v>
      </c>
    </row>
    <row r="690" spans="1:14" x14ac:dyDescent="0.25">
      <c r="A690">
        <v>10689</v>
      </c>
      <c r="B690" s="4">
        <v>45615</v>
      </c>
      <c r="C690" t="s">
        <v>33</v>
      </c>
      <c r="D690" t="s">
        <v>27</v>
      </c>
      <c r="E690" t="s">
        <v>32</v>
      </c>
      <c r="F690" t="s">
        <v>24</v>
      </c>
      <c r="G690">
        <v>50</v>
      </c>
      <c r="H690" t="str">
        <f t="shared" si="10"/>
        <v>45-54</v>
      </c>
      <c r="I690">
        <v>5</v>
      </c>
      <c r="J690">
        <v>13551</v>
      </c>
      <c r="K690">
        <v>10</v>
      </c>
      <c r="L690">
        <v>67755</v>
      </c>
      <c r="M690">
        <v>6775.5</v>
      </c>
      <c r="N690">
        <v>60979.5</v>
      </c>
    </row>
    <row r="691" spans="1:14" x14ac:dyDescent="0.25">
      <c r="A691">
        <v>10690</v>
      </c>
      <c r="B691" s="4">
        <v>45616</v>
      </c>
      <c r="C691" t="s">
        <v>33</v>
      </c>
      <c r="D691" t="s">
        <v>29</v>
      </c>
      <c r="E691" t="s">
        <v>25</v>
      </c>
      <c r="F691" t="s">
        <v>16</v>
      </c>
      <c r="G691">
        <v>61</v>
      </c>
      <c r="H691" t="str">
        <f t="shared" si="10"/>
        <v>55+</v>
      </c>
      <c r="I691">
        <v>8</v>
      </c>
      <c r="J691">
        <v>23535</v>
      </c>
      <c r="K691">
        <v>5</v>
      </c>
      <c r="L691">
        <v>188280</v>
      </c>
      <c r="M691">
        <v>9414</v>
      </c>
      <c r="N691">
        <v>178866</v>
      </c>
    </row>
    <row r="692" spans="1:14" x14ac:dyDescent="0.25">
      <c r="A692">
        <v>10691</v>
      </c>
      <c r="B692" s="4">
        <v>45617</v>
      </c>
      <c r="C692" t="s">
        <v>33</v>
      </c>
      <c r="D692" t="s">
        <v>27</v>
      </c>
      <c r="E692" t="s">
        <v>15</v>
      </c>
      <c r="F692" t="s">
        <v>20</v>
      </c>
      <c r="G692">
        <v>45</v>
      </c>
      <c r="H692" t="str">
        <f t="shared" si="10"/>
        <v>45-54</v>
      </c>
      <c r="I692">
        <v>5</v>
      </c>
      <c r="J692">
        <v>22764</v>
      </c>
      <c r="K692">
        <v>10</v>
      </c>
      <c r="L692">
        <v>113820</v>
      </c>
      <c r="M692">
        <v>11382</v>
      </c>
      <c r="N692">
        <v>102438</v>
      </c>
    </row>
    <row r="693" spans="1:14" x14ac:dyDescent="0.25">
      <c r="A693">
        <v>10692</v>
      </c>
      <c r="B693" s="4">
        <v>45618</v>
      </c>
      <c r="C693" t="s">
        <v>21</v>
      </c>
      <c r="D693" t="s">
        <v>27</v>
      </c>
      <c r="E693" t="s">
        <v>32</v>
      </c>
      <c r="F693" t="s">
        <v>24</v>
      </c>
      <c r="G693">
        <v>64</v>
      </c>
      <c r="H693" t="str">
        <f t="shared" si="10"/>
        <v>55+</v>
      </c>
      <c r="I693">
        <v>4</v>
      </c>
      <c r="J693">
        <v>36589</v>
      </c>
      <c r="K693">
        <v>5</v>
      </c>
      <c r="L693">
        <v>146356</v>
      </c>
      <c r="M693">
        <v>7317.8</v>
      </c>
      <c r="N693">
        <v>139038.20000000001</v>
      </c>
    </row>
    <row r="694" spans="1:14" x14ac:dyDescent="0.25">
      <c r="A694">
        <v>10693</v>
      </c>
      <c r="B694" s="4">
        <v>45619</v>
      </c>
      <c r="C694" t="s">
        <v>33</v>
      </c>
      <c r="D694" t="s">
        <v>29</v>
      </c>
      <c r="E694" t="s">
        <v>15</v>
      </c>
      <c r="F694" t="s">
        <v>24</v>
      </c>
      <c r="G694">
        <v>64</v>
      </c>
      <c r="H694" t="str">
        <f t="shared" si="10"/>
        <v>55+</v>
      </c>
      <c r="I694">
        <v>9</v>
      </c>
      <c r="J694">
        <v>48214</v>
      </c>
      <c r="K694">
        <v>5</v>
      </c>
      <c r="L694">
        <v>433926</v>
      </c>
      <c r="M694">
        <v>21696.3</v>
      </c>
      <c r="N694">
        <v>412229.7</v>
      </c>
    </row>
    <row r="695" spans="1:14" x14ac:dyDescent="0.25">
      <c r="A695">
        <v>10694</v>
      </c>
      <c r="B695" s="4">
        <v>45620</v>
      </c>
      <c r="C695" t="s">
        <v>13</v>
      </c>
      <c r="D695" t="s">
        <v>22</v>
      </c>
      <c r="E695" t="s">
        <v>32</v>
      </c>
      <c r="F695" t="s">
        <v>16</v>
      </c>
      <c r="G695">
        <v>33</v>
      </c>
      <c r="H695" t="str">
        <f t="shared" si="10"/>
        <v>25-34</v>
      </c>
      <c r="I695">
        <v>4</v>
      </c>
      <c r="J695">
        <v>46141</v>
      </c>
      <c r="K695">
        <v>15</v>
      </c>
      <c r="L695">
        <v>184564</v>
      </c>
      <c r="M695">
        <v>27684.6</v>
      </c>
      <c r="N695">
        <v>156879.4</v>
      </c>
    </row>
    <row r="696" spans="1:14" x14ac:dyDescent="0.25">
      <c r="A696">
        <v>10695</v>
      </c>
      <c r="B696" s="4">
        <v>45621</v>
      </c>
      <c r="C696" t="s">
        <v>33</v>
      </c>
      <c r="D696" t="s">
        <v>22</v>
      </c>
      <c r="E696" t="s">
        <v>15</v>
      </c>
      <c r="F696" t="s">
        <v>30</v>
      </c>
      <c r="G696">
        <v>19</v>
      </c>
      <c r="H696" t="str">
        <f t="shared" si="10"/>
        <v>18-24</v>
      </c>
      <c r="I696">
        <v>4</v>
      </c>
      <c r="J696">
        <v>40771</v>
      </c>
      <c r="K696">
        <v>15</v>
      </c>
      <c r="L696">
        <v>163084</v>
      </c>
      <c r="M696">
        <v>24462.6</v>
      </c>
      <c r="N696">
        <v>138621.4</v>
      </c>
    </row>
    <row r="697" spans="1:14" x14ac:dyDescent="0.25">
      <c r="A697">
        <v>10696</v>
      </c>
      <c r="B697" s="4">
        <v>45622</v>
      </c>
      <c r="C697" t="s">
        <v>13</v>
      </c>
      <c r="D697" t="s">
        <v>22</v>
      </c>
      <c r="E697" t="s">
        <v>19</v>
      </c>
      <c r="F697" t="s">
        <v>30</v>
      </c>
      <c r="G697">
        <v>30</v>
      </c>
      <c r="H697" t="str">
        <f t="shared" si="10"/>
        <v>25-34</v>
      </c>
      <c r="I697">
        <v>5</v>
      </c>
      <c r="J697">
        <v>14483</v>
      </c>
      <c r="K697">
        <v>5</v>
      </c>
      <c r="L697">
        <v>72415</v>
      </c>
      <c r="M697">
        <v>3620.75</v>
      </c>
      <c r="N697">
        <v>68794.25</v>
      </c>
    </row>
    <row r="698" spans="1:14" x14ac:dyDescent="0.25">
      <c r="A698">
        <v>10697</v>
      </c>
      <c r="B698" s="4">
        <v>45623</v>
      </c>
      <c r="C698" t="s">
        <v>33</v>
      </c>
      <c r="D698" t="s">
        <v>18</v>
      </c>
      <c r="E698" t="s">
        <v>25</v>
      </c>
      <c r="F698" t="s">
        <v>30</v>
      </c>
      <c r="G698">
        <v>57</v>
      </c>
      <c r="H698" t="str">
        <f t="shared" si="10"/>
        <v>55+</v>
      </c>
      <c r="I698">
        <v>5</v>
      </c>
      <c r="J698">
        <v>49965</v>
      </c>
      <c r="K698">
        <v>15</v>
      </c>
      <c r="L698">
        <v>249825</v>
      </c>
      <c r="M698">
        <v>37473.75</v>
      </c>
      <c r="N698">
        <v>212351.25</v>
      </c>
    </row>
    <row r="699" spans="1:14" x14ac:dyDescent="0.25">
      <c r="A699">
        <v>10698</v>
      </c>
      <c r="B699" s="4">
        <v>45624</v>
      </c>
      <c r="C699" t="s">
        <v>33</v>
      </c>
      <c r="D699" t="s">
        <v>22</v>
      </c>
      <c r="E699" t="s">
        <v>32</v>
      </c>
      <c r="F699" t="s">
        <v>26</v>
      </c>
      <c r="G699">
        <v>37</v>
      </c>
      <c r="H699" t="str">
        <f t="shared" si="10"/>
        <v>35-44</v>
      </c>
      <c r="I699">
        <v>7</v>
      </c>
      <c r="J699">
        <v>33360</v>
      </c>
      <c r="K699">
        <v>15</v>
      </c>
      <c r="L699">
        <v>233520</v>
      </c>
      <c r="M699">
        <v>35028</v>
      </c>
      <c r="N699">
        <v>198492</v>
      </c>
    </row>
    <row r="700" spans="1:14" x14ac:dyDescent="0.25">
      <c r="A700">
        <v>10699</v>
      </c>
      <c r="B700" s="4">
        <v>45625</v>
      </c>
      <c r="C700" t="s">
        <v>17</v>
      </c>
      <c r="D700" t="s">
        <v>18</v>
      </c>
      <c r="E700" t="s">
        <v>32</v>
      </c>
      <c r="F700" t="s">
        <v>31</v>
      </c>
      <c r="G700">
        <v>20</v>
      </c>
      <c r="H700" t="str">
        <f t="shared" si="10"/>
        <v>18-24</v>
      </c>
      <c r="I700">
        <v>4</v>
      </c>
      <c r="J700">
        <v>7209</v>
      </c>
      <c r="K700">
        <v>20</v>
      </c>
      <c r="L700">
        <v>28836</v>
      </c>
      <c r="M700">
        <v>5767.2</v>
      </c>
      <c r="N700">
        <v>23068.799999999999</v>
      </c>
    </row>
    <row r="701" spans="1:14" x14ac:dyDescent="0.25">
      <c r="A701">
        <v>10700</v>
      </c>
      <c r="B701" s="4">
        <v>45626</v>
      </c>
      <c r="C701" t="s">
        <v>13</v>
      </c>
      <c r="D701" t="s">
        <v>14</v>
      </c>
      <c r="E701" t="s">
        <v>19</v>
      </c>
      <c r="F701" t="s">
        <v>28</v>
      </c>
      <c r="G701">
        <v>42</v>
      </c>
      <c r="H701" t="str">
        <f t="shared" si="10"/>
        <v>35-44</v>
      </c>
      <c r="I701">
        <v>6</v>
      </c>
      <c r="J701">
        <v>49693</v>
      </c>
      <c r="K701">
        <v>10</v>
      </c>
      <c r="L701">
        <v>298158</v>
      </c>
      <c r="M701">
        <v>29815.8</v>
      </c>
      <c r="N701">
        <v>268342.2</v>
      </c>
    </row>
    <row r="702" spans="1:14" x14ac:dyDescent="0.25">
      <c r="A702">
        <v>10701</v>
      </c>
      <c r="B702" s="4">
        <v>45627</v>
      </c>
      <c r="C702" t="s">
        <v>21</v>
      </c>
      <c r="D702" t="s">
        <v>29</v>
      </c>
      <c r="E702" t="s">
        <v>32</v>
      </c>
      <c r="F702" t="s">
        <v>20</v>
      </c>
      <c r="G702">
        <v>20</v>
      </c>
      <c r="H702" t="str">
        <f t="shared" si="10"/>
        <v>18-24</v>
      </c>
      <c r="I702">
        <v>5</v>
      </c>
      <c r="J702">
        <v>1114</v>
      </c>
      <c r="K702">
        <v>5</v>
      </c>
      <c r="L702">
        <v>5570</v>
      </c>
      <c r="M702">
        <v>278.5</v>
      </c>
      <c r="N702">
        <v>5291.5</v>
      </c>
    </row>
    <row r="703" spans="1:14" x14ac:dyDescent="0.25">
      <c r="A703">
        <v>10702</v>
      </c>
      <c r="B703" s="4">
        <v>45628</v>
      </c>
      <c r="C703" t="s">
        <v>21</v>
      </c>
      <c r="D703" t="s">
        <v>14</v>
      </c>
      <c r="E703" t="s">
        <v>32</v>
      </c>
      <c r="F703" t="s">
        <v>28</v>
      </c>
      <c r="G703">
        <v>51</v>
      </c>
      <c r="H703" t="str">
        <f t="shared" si="10"/>
        <v>45-54</v>
      </c>
      <c r="I703">
        <v>5</v>
      </c>
      <c r="J703">
        <v>12610</v>
      </c>
      <c r="K703">
        <v>5</v>
      </c>
      <c r="L703">
        <v>63050</v>
      </c>
      <c r="M703">
        <v>3152.5</v>
      </c>
      <c r="N703">
        <v>59897.5</v>
      </c>
    </row>
    <row r="704" spans="1:14" x14ac:dyDescent="0.25">
      <c r="A704">
        <v>10703</v>
      </c>
      <c r="B704" s="4">
        <v>45629</v>
      </c>
      <c r="C704" t="s">
        <v>13</v>
      </c>
      <c r="D704" t="s">
        <v>14</v>
      </c>
      <c r="E704" t="s">
        <v>25</v>
      </c>
      <c r="F704" t="s">
        <v>24</v>
      </c>
      <c r="G704">
        <v>62</v>
      </c>
      <c r="H704" t="str">
        <f t="shared" si="10"/>
        <v>55+</v>
      </c>
      <c r="I704">
        <v>4</v>
      </c>
      <c r="J704">
        <v>29661</v>
      </c>
      <c r="K704">
        <v>10</v>
      </c>
      <c r="L704">
        <v>118644</v>
      </c>
      <c r="M704">
        <v>11864.4</v>
      </c>
      <c r="N704">
        <v>106779.6</v>
      </c>
    </row>
    <row r="705" spans="1:14" x14ac:dyDescent="0.25">
      <c r="A705">
        <v>10704</v>
      </c>
      <c r="B705" s="4">
        <v>45630</v>
      </c>
      <c r="C705" t="s">
        <v>13</v>
      </c>
      <c r="D705" t="s">
        <v>14</v>
      </c>
      <c r="E705" t="s">
        <v>25</v>
      </c>
      <c r="F705" t="s">
        <v>24</v>
      </c>
      <c r="G705">
        <v>55</v>
      </c>
      <c r="H705" t="str">
        <f t="shared" si="10"/>
        <v>55+</v>
      </c>
      <c r="I705">
        <v>8</v>
      </c>
      <c r="J705">
        <v>6672</v>
      </c>
      <c r="K705">
        <v>0</v>
      </c>
      <c r="L705">
        <v>53376</v>
      </c>
      <c r="M705">
        <v>0</v>
      </c>
      <c r="N705">
        <v>53376</v>
      </c>
    </row>
    <row r="706" spans="1:14" x14ac:dyDescent="0.25">
      <c r="A706">
        <v>10705</v>
      </c>
      <c r="B706" s="4">
        <v>45631</v>
      </c>
      <c r="C706" t="s">
        <v>17</v>
      </c>
      <c r="D706" t="s">
        <v>27</v>
      </c>
      <c r="E706" t="s">
        <v>32</v>
      </c>
      <c r="F706" t="s">
        <v>24</v>
      </c>
      <c r="G706">
        <v>64</v>
      </c>
      <c r="H706" t="str">
        <f t="shared" si="10"/>
        <v>55+</v>
      </c>
      <c r="I706">
        <v>9</v>
      </c>
      <c r="J706">
        <v>9959</v>
      </c>
      <c r="K706">
        <v>15</v>
      </c>
      <c r="L706">
        <v>89631</v>
      </c>
      <c r="M706">
        <v>13444.65</v>
      </c>
      <c r="N706">
        <v>76186.350000000006</v>
      </c>
    </row>
    <row r="707" spans="1:14" x14ac:dyDescent="0.25">
      <c r="A707">
        <v>10706</v>
      </c>
      <c r="B707" s="4">
        <v>45632</v>
      </c>
      <c r="C707" t="s">
        <v>33</v>
      </c>
      <c r="D707" t="s">
        <v>18</v>
      </c>
      <c r="E707" t="s">
        <v>15</v>
      </c>
      <c r="F707" t="s">
        <v>26</v>
      </c>
      <c r="G707">
        <v>27</v>
      </c>
      <c r="H707" t="str">
        <f t="shared" ref="H707:H770" si="11">IF(G707&lt;25,"18-24",IF(G707&lt;35,"25-34",IF(G707&lt;45,"35-44",IF(G707&lt;55,"45-54","55+"))))</f>
        <v>25-34</v>
      </c>
      <c r="I707">
        <v>9</v>
      </c>
      <c r="J707">
        <v>47353</v>
      </c>
      <c r="K707">
        <v>0</v>
      </c>
      <c r="L707">
        <v>426177</v>
      </c>
      <c r="M707">
        <v>0</v>
      </c>
      <c r="N707">
        <v>426177</v>
      </c>
    </row>
    <row r="708" spans="1:14" x14ac:dyDescent="0.25">
      <c r="A708">
        <v>10707</v>
      </c>
      <c r="B708" s="4">
        <v>45633</v>
      </c>
      <c r="C708" t="s">
        <v>13</v>
      </c>
      <c r="D708" t="s">
        <v>14</v>
      </c>
      <c r="E708" t="s">
        <v>25</v>
      </c>
      <c r="F708" t="s">
        <v>26</v>
      </c>
      <c r="G708">
        <v>23</v>
      </c>
      <c r="H708" t="str">
        <f t="shared" si="11"/>
        <v>18-24</v>
      </c>
      <c r="I708">
        <v>1</v>
      </c>
      <c r="J708">
        <v>45394</v>
      </c>
      <c r="K708">
        <v>5</v>
      </c>
      <c r="L708">
        <v>45394</v>
      </c>
      <c r="M708">
        <v>2269.6999999999998</v>
      </c>
      <c r="N708">
        <v>43124.3</v>
      </c>
    </row>
    <row r="709" spans="1:14" x14ac:dyDescent="0.25">
      <c r="A709">
        <v>10708</v>
      </c>
      <c r="B709" s="4">
        <v>45634</v>
      </c>
      <c r="C709" t="s">
        <v>13</v>
      </c>
      <c r="D709" t="s">
        <v>18</v>
      </c>
      <c r="E709" t="s">
        <v>25</v>
      </c>
      <c r="F709" t="s">
        <v>30</v>
      </c>
      <c r="G709">
        <v>26</v>
      </c>
      <c r="H709" t="str">
        <f t="shared" si="11"/>
        <v>25-34</v>
      </c>
      <c r="I709">
        <v>7</v>
      </c>
      <c r="J709">
        <v>25475</v>
      </c>
      <c r="K709">
        <v>5</v>
      </c>
      <c r="L709">
        <v>178325</v>
      </c>
      <c r="M709">
        <v>8916.25</v>
      </c>
      <c r="N709">
        <v>169408.75</v>
      </c>
    </row>
    <row r="710" spans="1:14" x14ac:dyDescent="0.25">
      <c r="A710">
        <v>10709</v>
      </c>
      <c r="B710" s="4">
        <v>45635</v>
      </c>
      <c r="C710" t="s">
        <v>33</v>
      </c>
      <c r="D710" t="s">
        <v>18</v>
      </c>
      <c r="E710" t="s">
        <v>19</v>
      </c>
      <c r="F710" t="s">
        <v>24</v>
      </c>
      <c r="G710">
        <v>40</v>
      </c>
      <c r="H710" t="str">
        <f t="shared" si="11"/>
        <v>35-44</v>
      </c>
      <c r="I710">
        <v>7</v>
      </c>
      <c r="J710">
        <v>11023</v>
      </c>
      <c r="K710">
        <v>20</v>
      </c>
      <c r="L710">
        <v>77161</v>
      </c>
      <c r="M710">
        <v>15432.2</v>
      </c>
      <c r="N710">
        <v>61728.800000000003</v>
      </c>
    </row>
    <row r="711" spans="1:14" x14ac:dyDescent="0.25">
      <c r="A711">
        <v>10710</v>
      </c>
      <c r="B711" s="4">
        <v>45636</v>
      </c>
      <c r="C711" t="s">
        <v>13</v>
      </c>
      <c r="D711" t="s">
        <v>18</v>
      </c>
      <c r="E711" t="s">
        <v>32</v>
      </c>
      <c r="F711" t="s">
        <v>16</v>
      </c>
      <c r="G711">
        <v>36</v>
      </c>
      <c r="H711" t="str">
        <f t="shared" si="11"/>
        <v>35-44</v>
      </c>
      <c r="I711">
        <v>9</v>
      </c>
      <c r="J711">
        <v>18659</v>
      </c>
      <c r="K711">
        <v>0</v>
      </c>
      <c r="L711">
        <v>167931</v>
      </c>
      <c r="M711">
        <v>0</v>
      </c>
      <c r="N711">
        <v>167931</v>
      </c>
    </row>
    <row r="712" spans="1:14" x14ac:dyDescent="0.25">
      <c r="A712">
        <v>10711</v>
      </c>
      <c r="B712" s="4">
        <v>45637</v>
      </c>
      <c r="C712" t="s">
        <v>17</v>
      </c>
      <c r="D712" t="s">
        <v>22</v>
      </c>
      <c r="E712" t="s">
        <v>32</v>
      </c>
      <c r="F712" t="s">
        <v>28</v>
      </c>
      <c r="G712">
        <v>30</v>
      </c>
      <c r="H712" t="str">
        <f t="shared" si="11"/>
        <v>25-34</v>
      </c>
      <c r="I712">
        <v>6</v>
      </c>
      <c r="J712">
        <v>11194</v>
      </c>
      <c r="K712">
        <v>15</v>
      </c>
      <c r="L712">
        <v>67164</v>
      </c>
      <c r="M712">
        <v>10074.6</v>
      </c>
      <c r="N712">
        <v>57089.4</v>
      </c>
    </row>
    <row r="713" spans="1:14" x14ac:dyDescent="0.25">
      <c r="A713">
        <v>10712</v>
      </c>
      <c r="B713" s="4">
        <v>45638</v>
      </c>
      <c r="C713" t="s">
        <v>17</v>
      </c>
      <c r="D713" t="s">
        <v>27</v>
      </c>
      <c r="E713" t="s">
        <v>19</v>
      </c>
      <c r="F713" t="s">
        <v>28</v>
      </c>
      <c r="G713">
        <v>26</v>
      </c>
      <c r="H713" t="str">
        <f t="shared" si="11"/>
        <v>25-34</v>
      </c>
      <c r="I713">
        <v>8</v>
      </c>
      <c r="J713">
        <v>13536</v>
      </c>
      <c r="K713">
        <v>15</v>
      </c>
      <c r="L713">
        <v>108288</v>
      </c>
      <c r="M713">
        <v>16243.2</v>
      </c>
      <c r="N713">
        <v>92044.800000000003</v>
      </c>
    </row>
    <row r="714" spans="1:14" x14ac:dyDescent="0.25">
      <c r="A714">
        <v>10713</v>
      </c>
      <c r="B714" s="4">
        <v>45639</v>
      </c>
      <c r="C714" t="s">
        <v>13</v>
      </c>
      <c r="D714" t="s">
        <v>14</v>
      </c>
      <c r="E714" t="s">
        <v>32</v>
      </c>
      <c r="F714" t="s">
        <v>28</v>
      </c>
      <c r="G714">
        <v>37</v>
      </c>
      <c r="H714" t="str">
        <f t="shared" si="11"/>
        <v>35-44</v>
      </c>
      <c r="I714">
        <v>3</v>
      </c>
      <c r="J714">
        <v>30111</v>
      </c>
      <c r="K714">
        <v>5</v>
      </c>
      <c r="L714">
        <v>90333</v>
      </c>
      <c r="M714">
        <v>4516.6499999999996</v>
      </c>
      <c r="N714">
        <v>85816.35</v>
      </c>
    </row>
    <row r="715" spans="1:14" x14ac:dyDescent="0.25">
      <c r="A715">
        <v>10714</v>
      </c>
      <c r="B715" s="4">
        <v>45640</v>
      </c>
      <c r="C715" t="s">
        <v>33</v>
      </c>
      <c r="D715" t="s">
        <v>27</v>
      </c>
      <c r="E715" t="s">
        <v>19</v>
      </c>
      <c r="F715" t="s">
        <v>28</v>
      </c>
      <c r="G715">
        <v>18</v>
      </c>
      <c r="H715" t="str">
        <f t="shared" si="11"/>
        <v>18-24</v>
      </c>
      <c r="I715">
        <v>2</v>
      </c>
      <c r="J715">
        <v>20083</v>
      </c>
      <c r="K715">
        <v>10</v>
      </c>
      <c r="L715">
        <v>40166</v>
      </c>
      <c r="M715">
        <v>4016.6</v>
      </c>
      <c r="N715">
        <v>36149.4</v>
      </c>
    </row>
    <row r="716" spans="1:14" x14ac:dyDescent="0.25">
      <c r="A716">
        <v>10715</v>
      </c>
      <c r="B716" s="4">
        <v>45641</v>
      </c>
      <c r="C716" t="s">
        <v>17</v>
      </c>
      <c r="D716" t="s">
        <v>29</v>
      </c>
      <c r="E716" t="s">
        <v>25</v>
      </c>
      <c r="F716" t="s">
        <v>31</v>
      </c>
      <c r="G716">
        <v>44</v>
      </c>
      <c r="H716" t="str">
        <f t="shared" si="11"/>
        <v>35-44</v>
      </c>
      <c r="I716">
        <v>6</v>
      </c>
      <c r="J716">
        <v>19083</v>
      </c>
      <c r="K716">
        <v>10</v>
      </c>
      <c r="L716">
        <v>114498</v>
      </c>
      <c r="M716">
        <v>11449.8</v>
      </c>
      <c r="N716">
        <v>103048.2</v>
      </c>
    </row>
    <row r="717" spans="1:14" x14ac:dyDescent="0.25">
      <c r="A717">
        <v>10716</v>
      </c>
      <c r="B717" s="4">
        <v>45642</v>
      </c>
      <c r="C717" t="s">
        <v>33</v>
      </c>
      <c r="D717" t="s">
        <v>14</v>
      </c>
      <c r="E717" t="s">
        <v>15</v>
      </c>
      <c r="F717" t="s">
        <v>28</v>
      </c>
      <c r="G717">
        <v>35</v>
      </c>
      <c r="H717" t="str">
        <f t="shared" si="11"/>
        <v>35-44</v>
      </c>
      <c r="I717">
        <v>8</v>
      </c>
      <c r="J717">
        <v>168</v>
      </c>
      <c r="K717">
        <v>20</v>
      </c>
      <c r="L717">
        <v>1344</v>
      </c>
      <c r="M717">
        <v>268.8</v>
      </c>
      <c r="N717">
        <v>1075.2</v>
      </c>
    </row>
    <row r="718" spans="1:14" x14ac:dyDescent="0.25">
      <c r="A718">
        <v>10717</v>
      </c>
      <c r="B718" s="4">
        <v>45643</v>
      </c>
      <c r="C718" t="s">
        <v>13</v>
      </c>
      <c r="D718" t="s">
        <v>27</v>
      </c>
      <c r="E718" t="s">
        <v>19</v>
      </c>
      <c r="F718" t="s">
        <v>28</v>
      </c>
      <c r="G718">
        <v>45</v>
      </c>
      <c r="H718" t="str">
        <f t="shared" si="11"/>
        <v>45-54</v>
      </c>
      <c r="I718">
        <v>8</v>
      </c>
      <c r="J718">
        <v>42725</v>
      </c>
      <c r="K718">
        <v>5</v>
      </c>
      <c r="L718">
        <v>341800</v>
      </c>
      <c r="M718">
        <v>17090</v>
      </c>
      <c r="N718">
        <v>324710</v>
      </c>
    </row>
    <row r="719" spans="1:14" x14ac:dyDescent="0.25">
      <c r="A719">
        <v>10718</v>
      </c>
      <c r="B719" s="4">
        <v>45644</v>
      </c>
      <c r="C719" t="s">
        <v>17</v>
      </c>
      <c r="D719" t="s">
        <v>22</v>
      </c>
      <c r="E719" t="s">
        <v>19</v>
      </c>
      <c r="F719" t="s">
        <v>20</v>
      </c>
      <c r="G719">
        <v>60</v>
      </c>
      <c r="H719" t="str">
        <f t="shared" si="11"/>
        <v>55+</v>
      </c>
      <c r="I719">
        <v>6</v>
      </c>
      <c r="J719">
        <v>33611</v>
      </c>
      <c r="K719">
        <v>5</v>
      </c>
      <c r="L719">
        <v>201666</v>
      </c>
      <c r="M719">
        <v>10083.299999999999</v>
      </c>
      <c r="N719">
        <v>191582.7</v>
      </c>
    </row>
    <row r="720" spans="1:14" x14ac:dyDescent="0.25">
      <c r="A720">
        <v>10719</v>
      </c>
      <c r="B720" s="4">
        <v>45645</v>
      </c>
      <c r="C720" t="s">
        <v>17</v>
      </c>
      <c r="D720" t="s">
        <v>29</v>
      </c>
      <c r="E720" t="s">
        <v>19</v>
      </c>
      <c r="F720" t="s">
        <v>16</v>
      </c>
      <c r="G720">
        <v>46</v>
      </c>
      <c r="H720" t="str">
        <f t="shared" si="11"/>
        <v>45-54</v>
      </c>
      <c r="I720">
        <v>4</v>
      </c>
      <c r="J720">
        <v>33778</v>
      </c>
      <c r="K720">
        <v>20</v>
      </c>
      <c r="L720">
        <v>135112</v>
      </c>
      <c r="M720">
        <v>27022.400000000001</v>
      </c>
      <c r="N720">
        <v>108089.60000000001</v>
      </c>
    </row>
    <row r="721" spans="1:14" x14ac:dyDescent="0.25">
      <c r="A721">
        <v>10720</v>
      </c>
      <c r="B721" s="4">
        <v>45646</v>
      </c>
      <c r="C721" t="s">
        <v>17</v>
      </c>
      <c r="D721" t="s">
        <v>22</v>
      </c>
      <c r="E721" t="s">
        <v>19</v>
      </c>
      <c r="F721" t="s">
        <v>24</v>
      </c>
      <c r="G721">
        <v>56</v>
      </c>
      <c r="H721" t="str">
        <f t="shared" si="11"/>
        <v>55+</v>
      </c>
      <c r="I721">
        <v>3</v>
      </c>
      <c r="J721">
        <v>1206</v>
      </c>
      <c r="K721">
        <v>20</v>
      </c>
      <c r="L721">
        <v>3618</v>
      </c>
      <c r="M721">
        <v>723.6</v>
      </c>
      <c r="N721">
        <v>2894.4</v>
      </c>
    </row>
    <row r="722" spans="1:14" x14ac:dyDescent="0.25">
      <c r="A722">
        <v>10721</v>
      </c>
      <c r="B722" s="4">
        <v>45647</v>
      </c>
      <c r="C722" t="s">
        <v>33</v>
      </c>
      <c r="D722" t="s">
        <v>27</v>
      </c>
      <c r="E722" t="s">
        <v>32</v>
      </c>
      <c r="F722" t="s">
        <v>23</v>
      </c>
      <c r="G722">
        <v>32</v>
      </c>
      <c r="H722" t="str">
        <f t="shared" si="11"/>
        <v>25-34</v>
      </c>
      <c r="I722">
        <v>2</v>
      </c>
      <c r="J722">
        <v>3889</v>
      </c>
      <c r="K722">
        <v>0</v>
      </c>
      <c r="L722">
        <v>7778</v>
      </c>
      <c r="M722">
        <v>0</v>
      </c>
      <c r="N722">
        <v>7778</v>
      </c>
    </row>
    <row r="723" spans="1:14" x14ac:dyDescent="0.25">
      <c r="A723">
        <v>10722</v>
      </c>
      <c r="B723" s="4">
        <v>45648</v>
      </c>
      <c r="C723" t="s">
        <v>13</v>
      </c>
      <c r="D723" t="s">
        <v>27</v>
      </c>
      <c r="E723" t="s">
        <v>15</v>
      </c>
      <c r="F723" t="s">
        <v>30</v>
      </c>
      <c r="G723">
        <v>38</v>
      </c>
      <c r="H723" t="str">
        <f t="shared" si="11"/>
        <v>35-44</v>
      </c>
      <c r="I723">
        <v>5</v>
      </c>
      <c r="J723">
        <v>9768</v>
      </c>
      <c r="K723">
        <v>5</v>
      </c>
      <c r="L723">
        <v>48840</v>
      </c>
      <c r="M723">
        <v>2442</v>
      </c>
      <c r="N723">
        <v>46398</v>
      </c>
    </row>
    <row r="724" spans="1:14" x14ac:dyDescent="0.25">
      <c r="A724">
        <v>10723</v>
      </c>
      <c r="B724" s="4">
        <v>45649</v>
      </c>
      <c r="C724" t="s">
        <v>17</v>
      </c>
      <c r="D724" t="s">
        <v>29</v>
      </c>
      <c r="E724" t="s">
        <v>19</v>
      </c>
      <c r="F724" t="s">
        <v>23</v>
      </c>
      <c r="G724">
        <v>63</v>
      </c>
      <c r="H724" t="str">
        <f t="shared" si="11"/>
        <v>55+</v>
      </c>
      <c r="I724">
        <v>5</v>
      </c>
      <c r="J724">
        <v>23939</v>
      </c>
      <c r="K724">
        <v>10</v>
      </c>
      <c r="L724">
        <v>119695</v>
      </c>
      <c r="M724">
        <v>11969.5</v>
      </c>
      <c r="N724">
        <v>107725.5</v>
      </c>
    </row>
    <row r="725" spans="1:14" x14ac:dyDescent="0.25">
      <c r="A725">
        <v>10724</v>
      </c>
      <c r="B725" s="4">
        <v>45650</v>
      </c>
      <c r="C725" t="s">
        <v>17</v>
      </c>
      <c r="D725" t="s">
        <v>22</v>
      </c>
      <c r="E725" t="s">
        <v>15</v>
      </c>
      <c r="F725" t="s">
        <v>16</v>
      </c>
      <c r="G725">
        <v>46</v>
      </c>
      <c r="H725" t="str">
        <f t="shared" si="11"/>
        <v>45-54</v>
      </c>
      <c r="I725">
        <v>1</v>
      </c>
      <c r="J725">
        <v>9116</v>
      </c>
      <c r="K725">
        <v>15</v>
      </c>
      <c r="L725">
        <v>9116</v>
      </c>
      <c r="M725">
        <v>1367.4</v>
      </c>
      <c r="N725">
        <v>7748.6</v>
      </c>
    </row>
    <row r="726" spans="1:14" x14ac:dyDescent="0.25">
      <c r="A726">
        <v>10725</v>
      </c>
      <c r="B726" s="4">
        <v>45651</v>
      </c>
      <c r="C726" t="s">
        <v>21</v>
      </c>
      <c r="D726" t="s">
        <v>27</v>
      </c>
      <c r="E726" t="s">
        <v>19</v>
      </c>
      <c r="F726" t="s">
        <v>23</v>
      </c>
      <c r="G726">
        <v>33</v>
      </c>
      <c r="H726" t="str">
        <f t="shared" si="11"/>
        <v>25-34</v>
      </c>
      <c r="I726">
        <v>4</v>
      </c>
      <c r="J726">
        <v>36489</v>
      </c>
      <c r="K726">
        <v>20</v>
      </c>
      <c r="L726">
        <v>145956</v>
      </c>
      <c r="M726">
        <v>29191.200000000001</v>
      </c>
      <c r="N726">
        <v>116764.8</v>
      </c>
    </row>
    <row r="727" spans="1:14" x14ac:dyDescent="0.25">
      <c r="A727">
        <v>10726</v>
      </c>
      <c r="B727" s="4">
        <v>45652</v>
      </c>
      <c r="C727" t="s">
        <v>21</v>
      </c>
      <c r="D727" t="s">
        <v>27</v>
      </c>
      <c r="E727" t="s">
        <v>32</v>
      </c>
      <c r="F727" t="s">
        <v>24</v>
      </c>
      <c r="G727">
        <v>51</v>
      </c>
      <c r="H727" t="str">
        <f t="shared" si="11"/>
        <v>45-54</v>
      </c>
      <c r="I727">
        <v>7</v>
      </c>
      <c r="J727">
        <v>10241</v>
      </c>
      <c r="K727">
        <v>10</v>
      </c>
      <c r="L727">
        <v>71687</v>
      </c>
      <c r="M727">
        <v>7168.7</v>
      </c>
      <c r="N727">
        <v>64518.3</v>
      </c>
    </row>
    <row r="728" spans="1:14" x14ac:dyDescent="0.25">
      <c r="A728">
        <v>10727</v>
      </c>
      <c r="B728" s="4">
        <v>45653</v>
      </c>
      <c r="C728" t="s">
        <v>13</v>
      </c>
      <c r="D728" t="s">
        <v>18</v>
      </c>
      <c r="E728" t="s">
        <v>15</v>
      </c>
      <c r="F728" t="s">
        <v>26</v>
      </c>
      <c r="G728">
        <v>43</v>
      </c>
      <c r="H728" t="str">
        <f t="shared" si="11"/>
        <v>35-44</v>
      </c>
      <c r="I728">
        <v>2</v>
      </c>
      <c r="J728">
        <v>22419</v>
      </c>
      <c r="K728">
        <v>10</v>
      </c>
      <c r="L728">
        <v>44838</v>
      </c>
      <c r="M728">
        <v>4483.8</v>
      </c>
      <c r="N728">
        <v>40354.199999999997</v>
      </c>
    </row>
    <row r="729" spans="1:14" x14ac:dyDescent="0.25">
      <c r="A729">
        <v>10728</v>
      </c>
      <c r="B729" s="4">
        <v>45654</v>
      </c>
      <c r="C729" t="s">
        <v>21</v>
      </c>
      <c r="D729" t="s">
        <v>27</v>
      </c>
      <c r="E729" t="s">
        <v>15</v>
      </c>
      <c r="F729" t="s">
        <v>26</v>
      </c>
      <c r="G729">
        <v>24</v>
      </c>
      <c r="H729" t="str">
        <f t="shared" si="11"/>
        <v>18-24</v>
      </c>
      <c r="I729">
        <v>9</v>
      </c>
      <c r="J729">
        <v>28969</v>
      </c>
      <c r="K729">
        <v>15</v>
      </c>
      <c r="L729">
        <v>260721</v>
      </c>
      <c r="M729">
        <v>39108.15</v>
      </c>
      <c r="N729">
        <v>221612.85</v>
      </c>
    </row>
    <row r="730" spans="1:14" x14ac:dyDescent="0.25">
      <c r="A730">
        <v>10729</v>
      </c>
      <c r="B730" s="4">
        <v>45655</v>
      </c>
      <c r="C730" t="s">
        <v>13</v>
      </c>
      <c r="D730" t="s">
        <v>22</v>
      </c>
      <c r="E730" t="s">
        <v>25</v>
      </c>
      <c r="F730" t="s">
        <v>26</v>
      </c>
      <c r="G730">
        <v>32</v>
      </c>
      <c r="H730" t="str">
        <f t="shared" si="11"/>
        <v>25-34</v>
      </c>
      <c r="I730">
        <v>7</v>
      </c>
      <c r="J730">
        <v>5225</v>
      </c>
      <c r="K730">
        <v>10</v>
      </c>
      <c r="L730">
        <v>36575</v>
      </c>
      <c r="M730">
        <v>3657.5</v>
      </c>
      <c r="N730">
        <v>32917.5</v>
      </c>
    </row>
    <row r="731" spans="1:14" x14ac:dyDescent="0.25">
      <c r="A731">
        <v>10730</v>
      </c>
      <c r="B731" s="4">
        <v>45656</v>
      </c>
      <c r="C731" t="s">
        <v>13</v>
      </c>
      <c r="D731" t="s">
        <v>22</v>
      </c>
      <c r="E731" t="s">
        <v>19</v>
      </c>
      <c r="F731" t="s">
        <v>31</v>
      </c>
      <c r="G731">
        <v>44</v>
      </c>
      <c r="H731" t="str">
        <f t="shared" si="11"/>
        <v>35-44</v>
      </c>
      <c r="I731">
        <v>9</v>
      </c>
      <c r="J731">
        <v>20230</v>
      </c>
      <c r="K731">
        <v>5</v>
      </c>
      <c r="L731">
        <v>182070</v>
      </c>
      <c r="M731">
        <v>9103.5</v>
      </c>
      <c r="N731">
        <v>172966.5</v>
      </c>
    </row>
    <row r="732" spans="1:14" x14ac:dyDescent="0.25">
      <c r="A732">
        <v>10731</v>
      </c>
      <c r="B732" s="4">
        <v>45657</v>
      </c>
      <c r="C732" t="s">
        <v>33</v>
      </c>
      <c r="D732" t="s">
        <v>22</v>
      </c>
      <c r="E732" t="s">
        <v>32</v>
      </c>
      <c r="F732" t="s">
        <v>24</v>
      </c>
      <c r="G732">
        <v>62</v>
      </c>
      <c r="H732" t="str">
        <f t="shared" si="11"/>
        <v>55+</v>
      </c>
      <c r="I732">
        <v>1</v>
      </c>
      <c r="J732">
        <v>42147</v>
      </c>
      <c r="K732">
        <v>5</v>
      </c>
      <c r="L732">
        <v>42147</v>
      </c>
      <c r="M732">
        <v>2107.35</v>
      </c>
      <c r="N732">
        <v>40039.65</v>
      </c>
    </row>
    <row r="733" spans="1:14" x14ac:dyDescent="0.25">
      <c r="A733">
        <v>10732</v>
      </c>
      <c r="B733" s="4">
        <v>45658</v>
      </c>
      <c r="C733" t="s">
        <v>33</v>
      </c>
      <c r="D733" t="s">
        <v>18</v>
      </c>
      <c r="E733" t="s">
        <v>15</v>
      </c>
      <c r="F733" t="s">
        <v>28</v>
      </c>
      <c r="G733">
        <v>33</v>
      </c>
      <c r="H733" t="str">
        <f t="shared" si="11"/>
        <v>25-34</v>
      </c>
      <c r="I733">
        <v>3</v>
      </c>
      <c r="J733">
        <v>36382</v>
      </c>
      <c r="K733">
        <v>0</v>
      </c>
      <c r="L733">
        <v>109146</v>
      </c>
      <c r="M733">
        <v>0</v>
      </c>
      <c r="N733">
        <v>109146</v>
      </c>
    </row>
    <row r="734" spans="1:14" x14ac:dyDescent="0.25">
      <c r="A734">
        <v>10733</v>
      </c>
      <c r="B734" s="4">
        <v>45659</v>
      </c>
      <c r="C734" t="s">
        <v>17</v>
      </c>
      <c r="D734" t="s">
        <v>14</v>
      </c>
      <c r="E734" t="s">
        <v>15</v>
      </c>
      <c r="F734" t="s">
        <v>23</v>
      </c>
      <c r="G734">
        <v>19</v>
      </c>
      <c r="H734" t="str">
        <f t="shared" si="11"/>
        <v>18-24</v>
      </c>
      <c r="I734">
        <v>7</v>
      </c>
      <c r="J734">
        <v>4052</v>
      </c>
      <c r="K734">
        <v>0</v>
      </c>
      <c r="L734">
        <v>28364</v>
      </c>
      <c r="M734">
        <v>0</v>
      </c>
      <c r="N734">
        <v>28364</v>
      </c>
    </row>
    <row r="735" spans="1:14" x14ac:dyDescent="0.25">
      <c r="A735">
        <v>10734</v>
      </c>
      <c r="B735" s="4">
        <v>45660</v>
      </c>
      <c r="C735" t="s">
        <v>33</v>
      </c>
      <c r="D735" t="s">
        <v>18</v>
      </c>
      <c r="E735" t="s">
        <v>19</v>
      </c>
      <c r="F735" t="s">
        <v>31</v>
      </c>
      <c r="G735">
        <v>31</v>
      </c>
      <c r="H735" t="str">
        <f t="shared" si="11"/>
        <v>25-34</v>
      </c>
      <c r="I735">
        <v>2</v>
      </c>
      <c r="J735">
        <v>24300</v>
      </c>
      <c r="K735">
        <v>5</v>
      </c>
      <c r="L735">
        <v>48600</v>
      </c>
      <c r="M735">
        <v>2430</v>
      </c>
      <c r="N735">
        <v>46170</v>
      </c>
    </row>
    <row r="736" spans="1:14" x14ac:dyDescent="0.25">
      <c r="A736">
        <v>10735</v>
      </c>
      <c r="B736" s="4">
        <v>45661</v>
      </c>
      <c r="C736" t="s">
        <v>21</v>
      </c>
      <c r="D736" t="s">
        <v>27</v>
      </c>
      <c r="E736" t="s">
        <v>32</v>
      </c>
      <c r="F736" t="s">
        <v>23</v>
      </c>
      <c r="G736">
        <v>57</v>
      </c>
      <c r="H736" t="str">
        <f t="shared" si="11"/>
        <v>55+</v>
      </c>
      <c r="I736">
        <v>8</v>
      </c>
      <c r="J736">
        <v>25497</v>
      </c>
      <c r="K736">
        <v>20</v>
      </c>
      <c r="L736">
        <v>203976</v>
      </c>
      <c r="M736">
        <v>40795.199999999997</v>
      </c>
      <c r="N736">
        <v>163180.79999999999</v>
      </c>
    </row>
    <row r="737" spans="1:14" x14ac:dyDescent="0.25">
      <c r="A737">
        <v>10736</v>
      </c>
      <c r="B737" s="4">
        <v>45662</v>
      </c>
      <c r="C737" t="s">
        <v>21</v>
      </c>
      <c r="D737" t="s">
        <v>29</v>
      </c>
      <c r="E737" t="s">
        <v>19</v>
      </c>
      <c r="F737" t="s">
        <v>31</v>
      </c>
      <c r="G737">
        <v>44</v>
      </c>
      <c r="H737" t="str">
        <f t="shared" si="11"/>
        <v>35-44</v>
      </c>
      <c r="I737">
        <v>3</v>
      </c>
      <c r="J737">
        <v>35208</v>
      </c>
      <c r="K737">
        <v>5</v>
      </c>
      <c r="L737">
        <v>105624</v>
      </c>
      <c r="M737">
        <v>5281.2</v>
      </c>
      <c r="N737">
        <v>100342.8</v>
      </c>
    </row>
    <row r="738" spans="1:14" x14ac:dyDescent="0.25">
      <c r="A738">
        <v>10737</v>
      </c>
      <c r="B738" s="4">
        <v>45663</v>
      </c>
      <c r="C738" t="s">
        <v>33</v>
      </c>
      <c r="D738" t="s">
        <v>14</v>
      </c>
      <c r="E738" t="s">
        <v>15</v>
      </c>
      <c r="F738" t="s">
        <v>31</v>
      </c>
      <c r="G738">
        <v>41</v>
      </c>
      <c r="H738" t="str">
        <f t="shared" si="11"/>
        <v>35-44</v>
      </c>
      <c r="I738">
        <v>9</v>
      </c>
      <c r="J738">
        <v>19886</v>
      </c>
      <c r="K738">
        <v>10</v>
      </c>
      <c r="L738">
        <v>178974</v>
      </c>
      <c r="M738">
        <v>17897.400000000001</v>
      </c>
      <c r="N738">
        <v>161076.6</v>
      </c>
    </row>
    <row r="739" spans="1:14" x14ac:dyDescent="0.25">
      <c r="A739">
        <v>10738</v>
      </c>
      <c r="B739" s="4">
        <v>45664</v>
      </c>
      <c r="C739" t="s">
        <v>21</v>
      </c>
      <c r="D739" t="s">
        <v>14</v>
      </c>
      <c r="E739" t="s">
        <v>25</v>
      </c>
      <c r="F739" t="s">
        <v>24</v>
      </c>
      <c r="G739">
        <v>47</v>
      </c>
      <c r="H739" t="str">
        <f t="shared" si="11"/>
        <v>45-54</v>
      </c>
      <c r="I739">
        <v>2</v>
      </c>
      <c r="J739">
        <v>7536</v>
      </c>
      <c r="K739">
        <v>15</v>
      </c>
      <c r="L739">
        <v>15072</v>
      </c>
      <c r="M739">
        <v>2260.8000000000002</v>
      </c>
      <c r="N739">
        <v>12811.2</v>
      </c>
    </row>
    <row r="740" spans="1:14" x14ac:dyDescent="0.25">
      <c r="A740">
        <v>10739</v>
      </c>
      <c r="B740" s="4">
        <v>45665</v>
      </c>
      <c r="C740" t="s">
        <v>33</v>
      </c>
      <c r="D740" t="s">
        <v>27</v>
      </c>
      <c r="E740" t="s">
        <v>32</v>
      </c>
      <c r="F740" t="s">
        <v>30</v>
      </c>
      <c r="G740">
        <v>28</v>
      </c>
      <c r="H740" t="str">
        <f t="shared" si="11"/>
        <v>25-34</v>
      </c>
      <c r="I740">
        <v>8</v>
      </c>
      <c r="J740">
        <v>46718</v>
      </c>
      <c r="K740">
        <v>20</v>
      </c>
      <c r="L740">
        <v>373744</v>
      </c>
      <c r="M740">
        <v>74748.800000000003</v>
      </c>
      <c r="N740">
        <v>298995.20000000001</v>
      </c>
    </row>
    <row r="741" spans="1:14" x14ac:dyDescent="0.25">
      <c r="A741">
        <v>10740</v>
      </c>
      <c r="B741" s="4">
        <v>45666</v>
      </c>
      <c r="C741" t="s">
        <v>17</v>
      </c>
      <c r="D741" t="s">
        <v>22</v>
      </c>
      <c r="E741" t="s">
        <v>25</v>
      </c>
      <c r="F741" t="s">
        <v>20</v>
      </c>
      <c r="G741">
        <v>26</v>
      </c>
      <c r="H741" t="str">
        <f t="shared" si="11"/>
        <v>25-34</v>
      </c>
      <c r="I741">
        <v>5</v>
      </c>
      <c r="J741">
        <v>22704</v>
      </c>
      <c r="K741">
        <v>0</v>
      </c>
      <c r="L741">
        <v>113520</v>
      </c>
      <c r="M741">
        <v>0</v>
      </c>
      <c r="N741">
        <v>113520</v>
      </c>
    </row>
    <row r="742" spans="1:14" x14ac:dyDescent="0.25">
      <c r="A742">
        <v>10741</v>
      </c>
      <c r="B742" s="4">
        <v>45667</v>
      </c>
      <c r="C742" t="s">
        <v>17</v>
      </c>
      <c r="D742" t="s">
        <v>18</v>
      </c>
      <c r="E742" t="s">
        <v>32</v>
      </c>
      <c r="F742" t="s">
        <v>20</v>
      </c>
      <c r="G742">
        <v>59</v>
      </c>
      <c r="H742" t="str">
        <f t="shared" si="11"/>
        <v>55+</v>
      </c>
      <c r="I742">
        <v>7</v>
      </c>
      <c r="J742">
        <v>46822</v>
      </c>
      <c r="K742">
        <v>5</v>
      </c>
      <c r="L742">
        <v>327754</v>
      </c>
      <c r="M742">
        <v>16387.7</v>
      </c>
      <c r="N742">
        <v>311366.3</v>
      </c>
    </row>
    <row r="743" spans="1:14" x14ac:dyDescent="0.25">
      <c r="A743">
        <v>10742</v>
      </c>
      <c r="B743" s="4">
        <v>45668</v>
      </c>
      <c r="C743" t="s">
        <v>13</v>
      </c>
      <c r="D743" t="s">
        <v>14</v>
      </c>
      <c r="E743" t="s">
        <v>25</v>
      </c>
      <c r="F743" t="s">
        <v>16</v>
      </c>
      <c r="G743">
        <v>47</v>
      </c>
      <c r="H743" t="str">
        <f t="shared" si="11"/>
        <v>45-54</v>
      </c>
      <c r="I743">
        <v>3</v>
      </c>
      <c r="J743">
        <v>35257</v>
      </c>
      <c r="K743">
        <v>10</v>
      </c>
      <c r="L743">
        <v>105771</v>
      </c>
      <c r="M743">
        <v>10577.1</v>
      </c>
      <c r="N743">
        <v>95193.9</v>
      </c>
    </row>
    <row r="744" spans="1:14" x14ac:dyDescent="0.25">
      <c r="A744">
        <v>10743</v>
      </c>
      <c r="B744" s="4">
        <v>45669</v>
      </c>
      <c r="C744" t="s">
        <v>33</v>
      </c>
      <c r="D744" t="s">
        <v>14</v>
      </c>
      <c r="E744" t="s">
        <v>32</v>
      </c>
      <c r="F744" t="s">
        <v>28</v>
      </c>
      <c r="G744">
        <v>37</v>
      </c>
      <c r="H744" t="str">
        <f t="shared" si="11"/>
        <v>35-44</v>
      </c>
      <c r="I744">
        <v>3</v>
      </c>
      <c r="J744">
        <v>7210</v>
      </c>
      <c r="K744">
        <v>15</v>
      </c>
      <c r="L744">
        <v>21630</v>
      </c>
      <c r="M744">
        <v>3244.5</v>
      </c>
      <c r="N744">
        <v>18385.5</v>
      </c>
    </row>
    <row r="745" spans="1:14" x14ac:dyDescent="0.25">
      <c r="A745">
        <v>10744</v>
      </c>
      <c r="B745" s="4">
        <v>45670</v>
      </c>
      <c r="C745" t="s">
        <v>21</v>
      </c>
      <c r="D745" t="s">
        <v>29</v>
      </c>
      <c r="E745" t="s">
        <v>25</v>
      </c>
      <c r="F745" t="s">
        <v>24</v>
      </c>
      <c r="G745">
        <v>20</v>
      </c>
      <c r="H745" t="str">
        <f t="shared" si="11"/>
        <v>18-24</v>
      </c>
      <c r="I745">
        <v>1</v>
      </c>
      <c r="J745">
        <v>22776</v>
      </c>
      <c r="K745">
        <v>5</v>
      </c>
      <c r="L745">
        <v>22776</v>
      </c>
      <c r="M745">
        <v>1138.8</v>
      </c>
      <c r="N745">
        <v>21637.200000000001</v>
      </c>
    </row>
    <row r="746" spans="1:14" x14ac:dyDescent="0.25">
      <c r="A746">
        <v>10745</v>
      </c>
      <c r="B746" s="4">
        <v>45671</v>
      </c>
      <c r="C746" t="s">
        <v>13</v>
      </c>
      <c r="D746" t="s">
        <v>29</v>
      </c>
      <c r="E746" t="s">
        <v>25</v>
      </c>
      <c r="F746" t="s">
        <v>28</v>
      </c>
      <c r="G746">
        <v>54</v>
      </c>
      <c r="H746" t="str">
        <f t="shared" si="11"/>
        <v>45-54</v>
      </c>
      <c r="I746">
        <v>7</v>
      </c>
      <c r="J746">
        <v>4045</v>
      </c>
      <c r="K746">
        <v>15</v>
      </c>
      <c r="L746">
        <v>28315</v>
      </c>
      <c r="M746">
        <v>4247.25</v>
      </c>
      <c r="N746">
        <v>24067.75</v>
      </c>
    </row>
    <row r="747" spans="1:14" x14ac:dyDescent="0.25">
      <c r="A747">
        <v>10746</v>
      </c>
      <c r="B747" s="4">
        <v>45672</v>
      </c>
      <c r="C747" t="s">
        <v>21</v>
      </c>
      <c r="D747" t="s">
        <v>18</v>
      </c>
      <c r="E747" t="s">
        <v>19</v>
      </c>
      <c r="F747" t="s">
        <v>24</v>
      </c>
      <c r="G747">
        <v>40</v>
      </c>
      <c r="H747" t="str">
        <f t="shared" si="11"/>
        <v>35-44</v>
      </c>
      <c r="I747">
        <v>1</v>
      </c>
      <c r="J747">
        <v>9619</v>
      </c>
      <c r="K747">
        <v>20</v>
      </c>
      <c r="L747">
        <v>9619</v>
      </c>
      <c r="M747">
        <v>1923.8</v>
      </c>
      <c r="N747">
        <v>7695.2</v>
      </c>
    </row>
    <row r="748" spans="1:14" x14ac:dyDescent="0.25">
      <c r="A748">
        <v>10747</v>
      </c>
      <c r="B748" s="4">
        <v>45673</v>
      </c>
      <c r="C748" t="s">
        <v>17</v>
      </c>
      <c r="D748" t="s">
        <v>22</v>
      </c>
      <c r="E748" t="s">
        <v>15</v>
      </c>
      <c r="F748" t="s">
        <v>26</v>
      </c>
      <c r="G748">
        <v>52</v>
      </c>
      <c r="H748" t="str">
        <f t="shared" si="11"/>
        <v>45-54</v>
      </c>
      <c r="I748">
        <v>8</v>
      </c>
      <c r="J748">
        <v>18834</v>
      </c>
      <c r="K748">
        <v>15</v>
      </c>
      <c r="L748">
        <v>150672</v>
      </c>
      <c r="M748">
        <v>22600.799999999999</v>
      </c>
      <c r="N748">
        <v>128071.2</v>
      </c>
    </row>
    <row r="749" spans="1:14" x14ac:dyDescent="0.25">
      <c r="A749">
        <v>10748</v>
      </c>
      <c r="B749" s="4">
        <v>45674</v>
      </c>
      <c r="C749" t="s">
        <v>21</v>
      </c>
      <c r="D749" t="s">
        <v>14</v>
      </c>
      <c r="E749" t="s">
        <v>15</v>
      </c>
      <c r="F749" t="s">
        <v>16</v>
      </c>
      <c r="G749">
        <v>48</v>
      </c>
      <c r="H749" t="str">
        <f t="shared" si="11"/>
        <v>45-54</v>
      </c>
      <c r="I749">
        <v>9</v>
      </c>
      <c r="J749">
        <v>15076</v>
      </c>
      <c r="K749">
        <v>5</v>
      </c>
      <c r="L749">
        <v>135684</v>
      </c>
      <c r="M749">
        <v>6784.2</v>
      </c>
      <c r="N749">
        <v>128899.8</v>
      </c>
    </row>
    <row r="750" spans="1:14" x14ac:dyDescent="0.25">
      <c r="A750">
        <v>10749</v>
      </c>
      <c r="B750" s="4">
        <v>45675</v>
      </c>
      <c r="C750" t="s">
        <v>33</v>
      </c>
      <c r="D750" t="s">
        <v>14</v>
      </c>
      <c r="E750" t="s">
        <v>19</v>
      </c>
      <c r="F750" t="s">
        <v>28</v>
      </c>
      <c r="G750">
        <v>39</v>
      </c>
      <c r="H750" t="str">
        <f t="shared" si="11"/>
        <v>35-44</v>
      </c>
      <c r="I750">
        <v>7</v>
      </c>
      <c r="J750">
        <v>9752</v>
      </c>
      <c r="K750">
        <v>10</v>
      </c>
      <c r="L750">
        <v>68264</v>
      </c>
      <c r="M750">
        <v>6826.4</v>
      </c>
      <c r="N750">
        <v>61437.599999999999</v>
      </c>
    </row>
    <row r="751" spans="1:14" x14ac:dyDescent="0.25">
      <c r="A751">
        <v>10750</v>
      </c>
      <c r="B751" s="4">
        <v>45676</v>
      </c>
      <c r="C751" t="s">
        <v>13</v>
      </c>
      <c r="D751" t="s">
        <v>14</v>
      </c>
      <c r="E751" t="s">
        <v>32</v>
      </c>
      <c r="F751" t="s">
        <v>28</v>
      </c>
      <c r="G751">
        <v>52</v>
      </c>
      <c r="H751" t="str">
        <f t="shared" si="11"/>
        <v>45-54</v>
      </c>
      <c r="I751">
        <v>1</v>
      </c>
      <c r="J751">
        <v>33733</v>
      </c>
      <c r="K751">
        <v>5</v>
      </c>
      <c r="L751">
        <v>33733</v>
      </c>
      <c r="M751">
        <v>1686.65</v>
      </c>
      <c r="N751">
        <v>32046.35</v>
      </c>
    </row>
    <row r="752" spans="1:14" x14ac:dyDescent="0.25">
      <c r="A752">
        <v>10751</v>
      </c>
      <c r="B752" s="4">
        <v>45677</v>
      </c>
      <c r="C752" t="s">
        <v>17</v>
      </c>
      <c r="D752" t="s">
        <v>14</v>
      </c>
      <c r="E752" t="s">
        <v>19</v>
      </c>
      <c r="F752" t="s">
        <v>20</v>
      </c>
      <c r="G752">
        <v>55</v>
      </c>
      <c r="H752" t="str">
        <f t="shared" si="11"/>
        <v>55+</v>
      </c>
      <c r="I752">
        <v>5</v>
      </c>
      <c r="J752">
        <v>36585</v>
      </c>
      <c r="K752">
        <v>10</v>
      </c>
      <c r="L752">
        <v>182925</v>
      </c>
      <c r="M752">
        <v>18292.5</v>
      </c>
      <c r="N752">
        <v>164632.5</v>
      </c>
    </row>
    <row r="753" spans="1:14" x14ac:dyDescent="0.25">
      <c r="A753">
        <v>10752</v>
      </c>
      <c r="B753" s="4">
        <v>45678</v>
      </c>
      <c r="C753" t="s">
        <v>17</v>
      </c>
      <c r="D753" t="s">
        <v>27</v>
      </c>
      <c r="E753" t="s">
        <v>15</v>
      </c>
      <c r="F753" t="s">
        <v>20</v>
      </c>
      <c r="G753">
        <v>57</v>
      </c>
      <c r="H753" t="str">
        <f t="shared" si="11"/>
        <v>55+</v>
      </c>
      <c r="I753">
        <v>9</v>
      </c>
      <c r="J753">
        <v>9204</v>
      </c>
      <c r="K753">
        <v>10</v>
      </c>
      <c r="L753">
        <v>82836</v>
      </c>
      <c r="M753">
        <v>8283.6</v>
      </c>
      <c r="N753">
        <v>74552.399999999994</v>
      </c>
    </row>
    <row r="754" spans="1:14" x14ac:dyDescent="0.25">
      <c r="A754">
        <v>10753</v>
      </c>
      <c r="B754" s="4">
        <v>45679</v>
      </c>
      <c r="C754" t="s">
        <v>33</v>
      </c>
      <c r="D754" t="s">
        <v>14</v>
      </c>
      <c r="E754" t="s">
        <v>19</v>
      </c>
      <c r="F754" t="s">
        <v>26</v>
      </c>
      <c r="G754">
        <v>46</v>
      </c>
      <c r="H754" t="str">
        <f t="shared" si="11"/>
        <v>45-54</v>
      </c>
      <c r="I754">
        <v>6</v>
      </c>
      <c r="J754">
        <v>12944</v>
      </c>
      <c r="K754">
        <v>5</v>
      </c>
      <c r="L754">
        <v>77664</v>
      </c>
      <c r="M754">
        <v>3883.2</v>
      </c>
      <c r="N754">
        <v>73780.800000000003</v>
      </c>
    </row>
    <row r="755" spans="1:14" x14ac:dyDescent="0.25">
      <c r="A755">
        <v>10754</v>
      </c>
      <c r="B755" s="4">
        <v>45680</v>
      </c>
      <c r="C755" t="s">
        <v>17</v>
      </c>
      <c r="D755" t="s">
        <v>18</v>
      </c>
      <c r="E755" t="s">
        <v>19</v>
      </c>
      <c r="F755" t="s">
        <v>26</v>
      </c>
      <c r="G755">
        <v>29</v>
      </c>
      <c r="H755" t="str">
        <f t="shared" si="11"/>
        <v>25-34</v>
      </c>
      <c r="I755">
        <v>8</v>
      </c>
      <c r="J755">
        <v>16459</v>
      </c>
      <c r="K755">
        <v>15</v>
      </c>
      <c r="L755">
        <v>131672</v>
      </c>
      <c r="M755">
        <v>19750.8</v>
      </c>
      <c r="N755">
        <v>111921.2</v>
      </c>
    </row>
    <row r="756" spans="1:14" x14ac:dyDescent="0.25">
      <c r="A756">
        <v>10755</v>
      </c>
      <c r="B756" s="4">
        <v>45681</v>
      </c>
      <c r="C756" t="s">
        <v>21</v>
      </c>
      <c r="D756" t="s">
        <v>14</v>
      </c>
      <c r="E756" t="s">
        <v>25</v>
      </c>
      <c r="F756" t="s">
        <v>16</v>
      </c>
      <c r="G756">
        <v>64</v>
      </c>
      <c r="H756" t="str">
        <f t="shared" si="11"/>
        <v>55+</v>
      </c>
      <c r="I756">
        <v>8</v>
      </c>
      <c r="J756">
        <v>29953</v>
      </c>
      <c r="K756">
        <v>10</v>
      </c>
      <c r="L756">
        <v>239624</v>
      </c>
      <c r="M756">
        <v>23962.400000000001</v>
      </c>
      <c r="N756">
        <v>215661.6</v>
      </c>
    </row>
    <row r="757" spans="1:14" x14ac:dyDescent="0.25">
      <c r="A757">
        <v>10756</v>
      </c>
      <c r="B757" s="4">
        <v>45682</v>
      </c>
      <c r="C757" t="s">
        <v>33</v>
      </c>
      <c r="D757" t="s">
        <v>22</v>
      </c>
      <c r="E757" t="s">
        <v>25</v>
      </c>
      <c r="F757" t="s">
        <v>23</v>
      </c>
      <c r="G757">
        <v>20</v>
      </c>
      <c r="H757" t="str">
        <f t="shared" si="11"/>
        <v>18-24</v>
      </c>
      <c r="I757">
        <v>3</v>
      </c>
      <c r="J757">
        <v>16698</v>
      </c>
      <c r="K757">
        <v>15</v>
      </c>
      <c r="L757">
        <v>50094</v>
      </c>
      <c r="M757">
        <v>7514.1</v>
      </c>
      <c r="N757">
        <v>42579.9</v>
      </c>
    </row>
    <row r="758" spans="1:14" x14ac:dyDescent="0.25">
      <c r="A758">
        <v>10757</v>
      </c>
      <c r="B758" s="4">
        <v>45683</v>
      </c>
      <c r="C758" t="s">
        <v>21</v>
      </c>
      <c r="D758" t="s">
        <v>22</v>
      </c>
      <c r="E758" t="s">
        <v>19</v>
      </c>
      <c r="F758" t="s">
        <v>16</v>
      </c>
      <c r="G758">
        <v>21</v>
      </c>
      <c r="H758" t="str">
        <f t="shared" si="11"/>
        <v>18-24</v>
      </c>
      <c r="I758">
        <v>1</v>
      </c>
      <c r="J758">
        <v>38742</v>
      </c>
      <c r="K758">
        <v>0</v>
      </c>
      <c r="L758">
        <v>38742</v>
      </c>
      <c r="M758">
        <v>0</v>
      </c>
      <c r="N758">
        <v>38742</v>
      </c>
    </row>
    <row r="759" spans="1:14" x14ac:dyDescent="0.25">
      <c r="A759">
        <v>10758</v>
      </c>
      <c r="B759" s="4">
        <v>45684</v>
      </c>
      <c r="C759" t="s">
        <v>13</v>
      </c>
      <c r="D759" t="s">
        <v>14</v>
      </c>
      <c r="E759" t="s">
        <v>15</v>
      </c>
      <c r="F759" t="s">
        <v>28</v>
      </c>
      <c r="G759">
        <v>40</v>
      </c>
      <c r="H759" t="str">
        <f t="shared" si="11"/>
        <v>35-44</v>
      </c>
      <c r="I759">
        <v>5</v>
      </c>
      <c r="J759">
        <v>5109</v>
      </c>
      <c r="K759">
        <v>5</v>
      </c>
      <c r="L759">
        <v>25545</v>
      </c>
      <c r="M759">
        <v>1277.25</v>
      </c>
      <c r="N759">
        <v>24267.75</v>
      </c>
    </row>
    <row r="760" spans="1:14" x14ac:dyDescent="0.25">
      <c r="A760">
        <v>10759</v>
      </c>
      <c r="B760" s="4">
        <v>45685</v>
      </c>
      <c r="C760" t="s">
        <v>17</v>
      </c>
      <c r="D760" t="s">
        <v>18</v>
      </c>
      <c r="E760" t="s">
        <v>25</v>
      </c>
      <c r="F760" t="s">
        <v>28</v>
      </c>
      <c r="G760">
        <v>28</v>
      </c>
      <c r="H760" t="str">
        <f t="shared" si="11"/>
        <v>25-34</v>
      </c>
      <c r="I760">
        <v>3</v>
      </c>
      <c r="J760">
        <v>10564</v>
      </c>
      <c r="K760">
        <v>15</v>
      </c>
      <c r="L760">
        <v>31692</v>
      </c>
      <c r="M760">
        <v>4753.8</v>
      </c>
      <c r="N760">
        <v>26938.2</v>
      </c>
    </row>
    <row r="761" spans="1:14" x14ac:dyDescent="0.25">
      <c r="A761">
        <v>10760</v>
      </c>
      <c r="B761" s="4">
        <v>45686</v>
      </c>
      <c r="C761" t="s">
        <v>17</v>
      </c>
      <c r="D761" t="s">
        <v>14</v>
      </c>
      <c r="E761" t="s">
        <v>25</v>
      </c>
      <c r="F761" t="s">
        <v>16</v>
      </c>
      <c r="G761">
        <v>45</v>
      </c>
      <c r="H761" t="str">
        <f t="shared" si="11"/>
        <v>45-54</v>
      </c>
      <c r="I761">
        <v>4</v>
      </c>
      <c r="J761">
        <v>17412</v>
      </c>
      <c r="K761">
        <v>0</v>
      </c>
      <c r="L761">
        <v>69648</v>
      </c>
      <c r="M761">
        <v>0</v>
      </c>
      <c r="N761">
        <v>69648</v>
      </c>
    </row>
    <row r="762" spans="1:14" x14ac:dyDescent="0.25">
      <c r="A762">
        <v>10761</v>
      </c>
      <c r="B762" s="4">
        <v>45687</v>
      </c>
      <c r="C762" t="s">
        <v>17</v>
      </c>
      <c r="D762" t="s">
        <v>14</v>
      </c>
      <c r="E762" t="s">
        <v>19</v>
      </c>
      <c r="F762" t="s">
        <v>23</v>
      </c>
      <c r="G762">
        <v>19</v>
      </c>
      <c r="H762" t="str">
        <f t="shared" si="11"/>
        <v>18-24</v>
      </c>
      <c r="I762">
        <v>6</v>
      </c>
      <c r="J762">
        <v>35122</v>
      </c>
      <c r="K762">
        <v>20</v>
      </c>
      <c r="L762">
        <v>210732</v>
      </c>
      <c r="M762">
        <v>42146.400000000001</v>
      </c>
      <c r="N762">
        <v>168585.60000000001</v>
      </c>
    </row>
    <row r="763" spans="1:14" x14ac:dyDescent="0.25">
      <c r="A763">
        <v>10762</v>
      </c>
      <c r="B763" s="4">
        <v>45688</v>
      </c>
      <c r="C763" t="s">
        <v>21</v>
      </c>
      <c r="D763" t="s">
        <v>22</v>
      </c>
      <c r="E763" t="s">
        <v>19</v>
      </c>
      <c r="F763" t="s">
        <v>20</v>
      </c>
      <c r="G763">
        <v>24</v>
      </c>
      <c r="H763" t="str">
        <f t="shared" si="11"/>
        <v>18-24</v>
      </c>
      <c r="I763">
        <v>3</v>
      </c>
      <c r="J763">
        <v>47845</v>
      </c>
      <c r="K763">
        <v>0</v>
      </c>
      <c r="L763">
        <v>143535</v>
      </c>
      <c r="M763">
        <v>0</v>
      </c>
      <c r="N763">
        <v>143535</v>
      </c>
    </row>
    <row r="764" spans="1:14" x14ac:dyDescent="0.25">
      <c r="A764">
        <v>10763</v>
      </c>
      <c r="B764" s="4">
        <v>45689</v>
      </c>
      <c r="C764" t="s">
        <v>17</v>
      </c>
      <c r="D764" t="s">
        <v>29</v>
      </c>
      <c r="E764" t="s">
        <v>32</v>
      </c>
      <c r="F764" t="s">
        <v>24</v>
      </c>
      <c r="G764">
        <v>61</v>
      </c>
      <c r="H764" t="str">
        <f t="shared" si="11"/>
        <v>55+</v>
      </c>
      <c r="I764">
        <v>8</v>
      </c>
      <c r="J764">
        <v>19961</v>
      </c>
      <c r="K764">
        <v>10</v>
      </c>
      <c r="L764">
        <v>159688</v>
      </c>
      <c r="M764">
        <v>15968.8</v>
      </c>
      <c r="N764">
        <v>143719.20000000001</v>
      </c>
    </row>
    <row r="765" spans="1:14" x14ac:dyDescent="0.25">
      <c r="A765">
        <v>10764</v>
      </c>
      <c r="B765" s="4">
        <v>45690</v>
      </c>
      <c r="C765" t="s">
        <v>21</v>
      </c>
      <c r="D765" t="s">
        <v>22</v>
      </c>
      <c r="E765" t="s">
        <v>19</v>
      </c>
      <c r="F765" t="s">
        <v>24</v>
      </c>
      <c r="G765">
        <v>30</v>
      </c>
      <c r="H765" t="str">
        <f t="shared" si="11"/>
        <v>25-34</v>
      </c>
      <c r="I765">
        <v>2</v>
      </c>
      <c r="J765">
        <v>17764</v>
      </c>
      <c r="K765">
        <v>0</v>
      </c>
      <c r="L765">
        <v>35528</v>
      </c>
      <c r="M765">
        <v>0</v>
      </c>
      <c r="N765">
        <v>35528</v>
      </c>
    </row>
    <row r="766" spans="1:14" x14ac:dyDescent="0.25">
      <c r="A766">
        <v>10765</v>
      </c>
      <c r="B766" s="4">
        <v>45691</v>
      </c>
      <c r="C766" t="s">
        <v>17</v>
      </c>
      <c r="D766" t="s">
        <v>27</v>
      </c>
      <c r="E766" t="s">
        <v>32</v>
      </c>
      <c r="F766" t="s">
        <v>23</v>
      </c>
      <c r="G766">
        <v>48</v>
      </c>
      <c r="H766" t="str">
        <f t="shared" si="11"/>
        <v>45-54</v>
      </c>
      <c r="I766">
        <v>7</v>
      </c>
      <c r="J766">
        <v>40416</v>
      </c>
      <c r="K766">
        <v>5</v>
      </c>
      <c r="L766">
        <v>282912</v>
      </c>
      <c r="M766">
        <v>14145.6</v>
      </c>
      <c r="N766">
        <v>268766.40000000002</v>
      </c>
    </row>
    <row r="767" spans="1:14" x14ac:dyDescent="0.25">
      <c r="A767">
        <v>10766</v>
      </c>
      <c r="B767" s="4">
        <v>45692</v>
      </c>
      <c r="C767" t="s">
        <v>21</v>
      </c>
      <c r="D767" t="s">
        <v>29</v>
      </c>
      <c r="E767" t="s">
        <v>15</v>
      </c>
      <c r="F767" t="s">
        <v>24</v>
      </c>
      <c r="G767">
        <v>21</v>
      </c>
      <c r="H767" t="str">
        <f t="shared" si="11"/>
        <v>18-24</v>
      </c>
      <c r="I767">
        <v>2</v>
      </c>
      <c r="J767">
        <v>43129</v>
      </c>
      <c r="K767">
        <v>15</v>
      </c>
      <c r="L767">
        <v>86258</v>
      </c>
      <c r="M767">
        <v>12938.7</v>
      </c>
      <c r="N767">
        <v>73319.3</v>
      </c>
    </row>
    <row r="768" spans="1:14" x14ac:dyDescent="0.25">
      <c r="A768">
        <v>10767</v>
      </c>
      <c r="B768" s="4">
        <v>45693</v>
      </c>
      <c r="C768" t="s">
        <v>21</v>
      </c>
      <c r="D768" t="s">
        <v>27</v>
      </c>
      <c r="E768" t="s">
        <v>32</v>
      </c>
      <c r="F768" t="s">
        <v>24</v>
      </c>
      <c r="G768">
        <v>58</v>
      </c>
      <c r="H768" t="str">
        <f t="shared" si="11"/>
        <v>55+</v>
      </c>
      <c r="I768">
        <v>4</v>
      </c>
      <c r="J768">
        <v>1976</v>
      </c>
      <c r="K768">
        <v>20</v>
      </c>
      <c r="L768">
        <v>7904</v>
      </c>
      <c r="M768">
        <v>1580.8</v>
      </c>
      <c r="N768">
        <v>6323.2</v>
      </c>
    </row>
    <row r="769" spans="1:14" x14ac:dyDescent="0.25">
      <c r="A769">
        <v>10768</v>
      </c>
      <c r="B769" s="4">
        <v>45694</v>
      </c>
      <c r="C769" t="s">
        <v>33</v>
      </c>
      <c r="D769" t="s">
        <v>22</v>
      </c>
      <c r="E769" t="s">
        <v>15</v>
      </c>
      <c r="F769" t="s">
        <v>23</v>
      </c>
      <c r="G769">
        <v>33</v>
      </c>
      <c r="H769" t="str">
        <f t="shared" si="11"/>
        <v>25-34</v>
      </c>
      <c r="I769">
        <v>7</v>
      </c>
      <c r="J769">
        <v>15935</v>
      </c>
      <c r="K769">
        <v>0</v>
      </c>
      <c r="L769">
        <v>111545</v>
      </c>
      <c r="M769">
        <v>0</v>
      </c>
      <c r="N769">
        <v>111545</v>
      </c>
    </row>
    <row r="770" spans="1:14" x14ac:dyDescent="0.25">
      <c r="A770">
        <v>10769</v>
      </c>
      <c r="B770" s="4">
        <v>45695</v>
      </c>
      <c r="C770" t="s">
        <v>33</v>
      </c>
      <c r="D770" t="s">
        <v>14</v>
      </c>
      <c r="E770" t="s">
        <v>15</v>
      </c>
      <c r="F770" t="s">
        <v>24</v>
      </c>
      <c r="G770">
        <v>63</v>
      </c>
      <c r="H770" t="str">
        <f t="shared" si="11"/>
        <v>55+</v>
      </c>
      <c r="I770">
        <v>5</v>
      </c>
      <c r="J770">
        <v>36531</v>
      </c>
      <c r="K770">
        <v>10</v>
      </c>
      <c r="L770">
        <v>182655</v>
      </c>
      <c r="M770">
        <v>18265.5</v>
      </c>
      <c r="N770">
        <v>164389.5</v>
      </c>
    </row>
    <row r="771" spans="1:14" x14ac:dyDescent="0.25">
      <c r="A771">
        <v>10770</v>
      </c>
      <c r="B771" s="4">
        <v>45696</v>
      </c>
      <c r="C771" t="s">
        <v>17</v>
      </c>
      <c r="D771" t="s">
        <v>27</v>
      </c>
      <c r="E771" t="s">
        <v>15</v>
      </c>
      <c r="F771" t="s">
        <v>31</v>
      </c>
      <c r="G771">
        <v>25</v>
      </c>
      <c r="H771" t="str">
        <f t="shared" ref="H771:H834" si="12">IF(G771&lt;25,"18-24",IF(G771&lt;35,"25-34",IF(G771&lt;45,"35-44",IF(G771&lt;55,"45-54","55+"))))</f>
        <v>25-34</v>
      </c>
      <c r="I771">
        <v>9</v>
      </c>
      <c r="J771">
        <v>21784</v>
      </c>
      <c r="K771">
        <v>10</v>
      </c>
      <c r="L771">
        <v>196056</v>
      </c>
      <c r="M771">
        <v>19605.599999999999</v>
      </c>
      <c r="N771">
        <v>176450.4</v>
      </c>
    </row>
    <row r="772" spans="1:14" x14ac:dyDescent="0.25">
      <c r="A772">
        <v>10771</v>
      </c>
      <c r="B772" s="4">
        <v>45697</v>
      </c>
      <c r="C772" t="s">
        <v>21</v>
      </c>
      <c r="D772" t="s">
        <v>22</v>
      </c>
      <c r="E772" t="s">
        <v>19</v>
      </c>
      <c r="F772" t="s">
        <v>28</v>
      </c>
      <c r="G772">
        <v>60</v>
      </c>
      <c r="H772" t="str">
        <f t="shared" si="12"/>
        <v>55+</v>
      </c>
      <c r="I772">
        <v>9</v>
      </c>
      <c r="J772">
        <v>20006</v>
      </c>
      <c r="K772">
        <v>0</v>
      </c>
      <c r="L772">
        <v>180054</v>
      </c>
      <c r="M772">
        <v>0</v>
      </c>
      <c r="N772">
        <v>180054</v>
      </c>
    </row>
    <row r="773" spans="1:14" x14ac:dyDescent="0.25">
      <c r="A773">
        <v>10772</v>
      </c>
      <c r="B773" s="4">
        <v>45698</v>
      </c>
      <c r="C773" t="s">
        <v>33</v>
      </c>
      <c r="D773" t="s">
        <v>22</v>
      </c>
      <c r="E773" t="s">
        <v>15</v>
      </c>
      <c r="F773" t="s">
        <v>24</v>
      </c>
      <c r="G773">
        <v>21</v>
      </c>
      <c r="H773" t="str">
        <f t="shared" si="12"/>
        <v>18-24</v>
      </c>
      <c r="I773">
        <v>7</v>
      </c>
      <c r="J773">
        <v>30143</v>
      </c>
      <c r="K773">
        <v>0</v>
      </c>
      <c r="L773">
        <v>211001</v>
      </c>
      <c r="M773">
        <v>0</v>
      </c>
      <c r="N773">
        <v>211001</v>
      </c>
    </row>
    <row r="774" spans="1:14" x14ac:dyDescent="0.25">
      <c r="A774">
        <v>10773</v>
      </c>
      <c r="B774" s="4">
        <v>45699</v>
      </c>
      <c r="C774" t="s">
        <v>33</v>
      </c>
      <c r="D774" t="s">
        <v>18</v>
      </c>
      <c r="E774" t="s">
        <v>19</v>
      </c>
      <c r="F774" t="s">
        <v>30</v>
      </c>
      <c r="G774">
        <v>43</v>
      </c>
      <c r="H774" t="str">
        <f t="shared" si="12"/>
        <v>35-44</v>
      </c>
      <c r="I774">
        <v>7</v>
      </c>
      <c r="J774">
        <v>26674</v>
      </c>
      <c r="K774">
        <v>20</v>
      </c>
      <c r="L774">
        <v>186718</v>
      </c>
      <c r="M774">
        <v>37343.599999999999</v>
      </c>
      <c r="N774">
        <v>149374.39999999999</v>
      </c>
    </row>
    <row r="775" spans="1:14" x14ac:dyDescent="0.25">
      <c r="A775">
        <v>10774</v>
      </c>
      <c r="B775" s="4">
        <v>45700</v>
      </c>
      <c r="C775" t="s">
        <v>13</v>
      </c>
      <c r="D775" t="s">
        <v>22</v>
      </c>
      <c r="E775" t="s">
        <v>15</v>
      </c>
      <c r="F775" t="s">
        <v>30</v>
      </c>
      <c r="G775">
        <v>30</v>
      </c>
      <c r="H775" t="str">
        <f t="shared" si="12"/>
        <v>25-34</v>
      </c>
      <c r="I775">
        <v>4</v>
      </c>
      <c r="J775">
        <v>13635</v>
      </c>
      <c r="K775">
        <v>0</v>
      </c>
      <c r="L775">
        <v>54540</v>
      </c>
      <c r="M775">
        <v>0</v>
      </c>
      <c r="N775">
        <v>54540</v>
      </c>
    </row>
    <row r="776" spans="1:14" x14ac:dyDescent="0.25">
      <c r="A776">
        <v>10775</v>
      </c>
      <c r="B776" s="4">
        <v>45701</v>
      </c>
      <c r="C776" t="s">
        <v>17</v>
      </c>
      <c r="D776" t="s">
        <v>27</v>
      </c>
      <c r="E776" t="s">
        <v>32</v>
      </c>
      <c r="F776" t="s">
        <v>28</v>
      </c>
      <c r="G776">
        <v>53</v>
      </c>
      <c r="H776" t="str">
        <f t="shared" si="12"/>
        <v>45-54</v>
      </c>
      <c r="I776">
        <v>2</v>
      </c>
      <c r="J776">
        <v>49389</v>
      </c>
      <c r="K776">
        <v>15</v>
      </c>
      <c r="L776">
        <v>98778</v>
      </c>
      <c r="M776">
        <v>14816.7</v>
      </c>
      <c r="N776">
        <v>83961.3</v>
      </c>
    </row>
    <row r="777" spans="1:14" x14ac:dyDescent="0.25">
      <c r="A777">
        <v>10776</v>
      </c>
      <c r="B777" s="4">
        <v>45702</v>
      </c>
      <c r="C777" t="s">
        <v>17</v>
      </c>
      <c r="D777" t="s">
        <v>18</v>
      </c>
      <c r="E777" t="s">
        <v>15</v>
      </c>
      <c r="F777" t="s">
        <v>16</v>
      </c>
      <c r="G777">
        <v>28</v>
      </c>
      <c r="H777" t="str">
        <f t="shared" si="12"/>
        <v>25-34</v>
      </c>
      <c r="I777">
        <v>6</v>
      </c>
      <c r="J777">
        <v>13025</v>
      </c>
      <c r="K777">
        <v>0</v>
      </c>
      <c r="L777">
        <v>78150</v>
      </c>
      <c r="M777">
        <v>0</v>
      </c>
      <c r="N777">
        <v>78150</v>
      </c>
    </row>
    <row r="778" spans="1:14" x14ac:dyDescent="0.25">
      <c r="A778">
        <v>10777</v>
      </c>
      <c r="B778" s="4">
        <v>45703</v>
      </c>
      <c r="C778" t="s">
        <v>13</v>
      </c>
      <c r="D778" t="s">
        <v>29</v>
      </c>
      <c r="E778" t="s">
        <v>15</v>
      </c>
      <c r="F778" t="s">
        <v>16</v>
      </c>
      <c r="G778">
        <v>29</v>
      </c>
      <c r="H778" t="str">
        <f t="shared" si="12"/>
        <v>25-34</v>
      </c>
      <c r="I778">
        <v>2</v>
      </c>
      <c r="J778">
        <v>26351</v>
      </c>
      <c r="K778">
        <v>5</v>
      </c>
      <c r="L778">
        <v>52702</v>
      </c>
      <c r="M778">
        <v>2635.1</v>
      </c>
      <c r="N778">
        <v>50066.9</v>
      </c>
    </row>
    <row r="779" spans="1:14" x14ac:dyDescent="0.25">
      <c r="A779">
        <v>10778</v>
      </c>
      <c r="B779" s="4">
        <v>45704</v>
      </c>
      <c r="C779" t="s">
        <v>33</v>
      </c>
      <c r="D779" t="s">
        <v>18</v>
      </c>
      <c r="E779" t="s">
        <v>15</v>
      </c>
      <c r="F779" t="s">
        <v>23</v>
      </c>
      <c r="G779">
        <v>55</v>
      </c>
      <c r="H779" t="str">
        <f t="shared" si="12"/>
        <v>55+</v>
      </c>
      <c r="I779">
        <v>9</v>
      </c>
      <c r="J779">
        <v>27960</v>
      </c>
      <c r="K779">
        <v>10</v>
      </c>
      <c r="L779">
        <v>251640</v>
      </c>
      <c r="M779">
        <v>25164</v>
      </c>
      <c r="N779">
        <v>226476</v>
      </c>
    </row>
    <row r="780" spans="1:14" x14ac:dyDescent="0.25">
      <c r="A780">
        <v>10779</v>
      </c>
      <c r="B780" s="4">
        <v>45705</v>
      </c>
      <c r="C780" t="s">
        <v>21</v>
      </c>
      <c r="D780" t="s">
        <v>14</v>
      </c>
      <c r="E780" t="s">
        <v>32</v>
      </c>
      <c r="F780" t="s">
        <v>28</v>
      </c>
      <c r="G780">
        <v>52</v>
      </c>
      <c r="H780" t="str">
        <f t="shared" si="12"/>
        <v>45-54</v>
      </c>
      <c r="I780">
        <v>6</v>
      </c>
      <c r="J780">
        <v>3441</v>
      </c>
      <c r="K780">
        <v>15</v>
      </c>
      <c r="L780">
        <v>20646</v>
      </c>
      <c r="M780">
        <v>3096.9</v>
      </c>
      <c r="N780">
        <v>17549.099999999999</v>
      </c>
    </row>
    <row r="781" spans="1:14" x14ac:dyDescent="0.25">
      <c r="A781">
        <v>10780</v>
      </c>
      <c r="B781" s="4">
        <v>45706</v>
      </c>
      <c r="C781" t="s">
        <v>21</v>
      </c>
      <c r="D781" t="s">
        <v>18</v>
      </c>
      <c r="E781" t="s">
        <v>19</v>
      </c>
      <c r="F781" t="s">
        <v>24</v>
      </c>
      <c r="G781">
        <v>23</v>
      </c>
      <c r="H781" t="str">
        <f t="shared" si="12"/>
        <v>18-24</v>
      </c>
      <c r="I781">
        <v>7</v>
      </c>
      <c r="J781">
        <v>27924</v>
      </c>
      <c r="K781">
        <v>5</v>
      </c>
      <c r="L781">
        <v>195468</v>
      </c>
      <c r="M781">
        <v>9773.4</v>
      </c>
      <c r="N781">
        <v>185694.6</v>
      </c>
    </row>
    <row r="782" spans="1:14" x14ac:dyDescent="0.25">
      <c r="A782">
        <v>10781</v>
      </c>
      <c r="B782" s="4">
        <v>45707</v>
      </c>
      <c r="C782" t="s">
        <v>13</v>
      </c>
      <c r="D782" t="s">
        <v>29</v>
      </c>
      <c r="E782" t="s">
        <v>25</v>
      </c>
      <c r="F782" t="s">
        <v>20</v>
      </c>
      <c r="G782">
        <v>51</v>
      </c>
      <c r="H782" t="str">
        <f t="shared" si="12"/>
        <v>45-54</v>
      </c>
      <c r="I782">
        <v>7</v>
      </c>
      <c r="J782">
        <v>16223</v>
      </c>
      <c r="K782">
        <v>5</v>
      </c>
      <c r="L782">
        <v>113561</v>
      </c>
      <c r="M782">
        <v>5678.05</v>
      </c>
      <c r="N782">
        <v>107882.95</v>
      </c>
    </row>
    <row r="783" spans="1:14" x14ac:dyDescent="0.25">
      <c r="A783">
        <v>10782</v>
      </c>
      <c r="B783" s="4">
        <v>45708</v>
      </c>
      <c r="C783" t="s">
        <v>33</v>
      </c>
      <c r="D783" t="s">
        <v>27</v>
      </c>
      <c r="E783" t="s">
        <v>19</v>
      </c>
      <c r="F783" t="s">
        <v>16</v>
      </c>
      <c r="G783">
        <v>46</v>
      </c>
      <c r="H783" t="str">
        <f t="shared" si="12"/>
        <v>45-54</v>
      </c>
      <c r="I783">
        <v>2</v>
      </c>
      <c r="J783">
        <v>46596</v>
      </c>
      <c r="K783">
        <v>5</v>
      </c>
      <c r="L783">
        <v>93192</v>
      </c>
      <c r="M783">
        <v>4659.6000000000004</v>
      </c>
      <c r="N783">
        <v>88532.4</v>
      </c>
    </row>
    <row r="784" spans="1:14" x14ac:dyDescent="0.25">
      <c r="A784">
        <v>10783</v>
      </c>
      <c r="B784" s="4">
        <v>45709</v>
      </c>
      <c r="C784" t="s">
        <v>33</v>
      </c>
      <c r="D784" t="s">
        <v>18</v>
      </c>
      <c r="E784" t="s">
        <v>19</v>
      </c>
      <c r="F784" t="s">
        <v>20</v>
      </c>
      <c r="G784">
        <v>39</v>
      </c>
      <c r="H784" t="str">
        <f t="shared" si="12"/>
        <v>35-44</v>
      </c>
      <c r="I784">
        <v>1</v>
      </c>
      <c r="J784">
        <v>11093</v>
      </c>
      <c r="K784">
        <v>0</v>
      </c>
      <c r="L784">
        <v>11093</v>
      </c>
      <c r="M784">
        <v>0</v>
      </c>
      <c r="N784">
        <v>11093</v>
      </c>
    </row>
    <row r="785" spans="1:14" x14ac:dyDescent="0.25">
      <c r="A785">
        <v>10784</v>
      </c>
      <c r="B785" s="4">
        <v>45710</v>
      </c>
      <c r="C785" t="s">
        <v>33</v>
      </c>
      <c r="D785" t="s">
        <v>18</v>
      </c>
      <c r="E785" t="s">
        <v>32</v>
      </c>
      <c r="F785" t="s">
        <v>20</v>
      </c>
      <c r="G785">
        <v>39</v>
      </c>
      <c r="H785" t="str">
        <f t="shared" si="12"/>
        <v>35-44</v>
      </c>
      <c r="I785">
        <v>4</v>
      </c>
      <c r="J785">
        <v>37815</v>
      </c>
      <c r="K785">
        <v>5</v>
      </c>
      <c r="L785">
        <v>151260</v>
      </c>
      <c r="M785">
        <v>7563</v>
      </c>
      <c r="N785">
        <v>143697</v>
      </c>
    </row>
    <row r="786" spans="1:14" x14ac:dyDescent="0.25">
      <c r="A786">
        <v>10785</v>
      </c>
      <c r="B786" s="4">
        <v>45711</v>
      </c>
      <c r="C786" t="s">
        <v>13</v>
      </c>
      <c r="D786" t="s">
        <v>22</v>
      </c>
      <c r="E786" t="s">
        <v>19</v>
      </c>
      <c r="F786" t="s">
        <v>30</v>
      </c>
      <c r="G786">
        <v>29</v>
      </c>
      <c r="H786" t="str">
        <f t="shared" si="12"/>
        <v>25-34</v>
      </c>
      <c r="I786">
        <v>1</v>
      </c>
      <c r="J786">
        <v>9093</v>
      </c>
      <c r="K786">
        <v>10</v>
      </c>
      <c r="L786">
        <v>9093</v>
      </c>
      <c r="M786">
        <v>909.3</v>
      </c>
      <c r="N786">
        <v>8183.7</v>
      </c>
    </row>
    <row r="787" spans="1:14" x14ac:dyDescent="0.25">
      <c r="A787">
        <v>10786</v>
      </c>
      <c r="B787" s="4">
        <v>45712</v>
      </c>
      <c r="C787" t="s">
        <v>13</v>
      </c>
      <c r="D787" t="s">
        <v>18</v>
      </c>
      <c r="E787" t="s">
        <v>32</v>
      </c>
      <c r="F787" t="s">
        <v>26</v>
      </c>
      <c r="G787">
        <v>61</v>
      </c>
      <c r="H787" t="str">
        <f t="shared" si="12"/>
        <v>55+</v>
      </c>
      <c r="I787">
        <v>3</v>
      </c>
      <c r="J787">
        <v>8654</v>
      </c>
      <c r="K787">
        <v>0</v>
      </c>
      <c r="L787">
        <v>25962</v>
      </c>
      <c r="M787">
        <v>0</v>
      </c>
      <c r="N787">
        <v>25962</v>
      </c>
    </row>
    <row r="788" spans="1:14" x14ac:dyDescent="0.25">
      <c r="A788">
        <v>10787</v>
      </c>
      <c r="B788" s="4">
        <v>45713</v>
      </c>
      <c r="C788" t="s">
        <v>33</v>
      </c>
      <c r="D788" t="s">
        <v>29</v>
      </c>
      <c r="E788" t="s">
        <v>32</v>
      </c>
      <c r="F788" t="s">
        <v>26</v>
      </c>
      <c r="G788">
        <v>21</v>
      </c>
      <c r="H788" t="str">
        <f t="shared" si="12"/>
        <v>18-24</v>
      </c>
      <c r="I788">
        <v>8</v>
      </c>
      <c r="J788">
        <v>9693</v>
      </c>
      <c r="K788">
        <v>20</v>
      </c>
      <c r="L788">
        <v>77544</v>
      </c>
      <c r="M788">
        <v>15508.8</v>
      </c>
      <c r="N788">
        <v>62035.199999999997</v>
      </c>
    </row>
    <row r="789" spans="1:14" x14ac:dyDescent="0.25">
      <c r="A789">
        <v>10788</v>
      </c>
      <c r="B789" s="4">
        <v>45714</v>
      </c>
      <c r="C789" t="s">
        <v>21</v>
      </c>
      <c r="D789" t="s">
        <v>18</v>
      </c>
      <c r="E789" t="s">
        <v>25</v>
      </c>
      <c r="F789" t="s">
        <v>24</v>
      </c>
      <c r="G789">
        <v>38</v>
      </c>
      <c r="H789" t="str">
        <f t="shared" si="12"/>
        <v>35-44</v>
      </c>
      <c r="I789">
        <v>4</v>
      </c>
      <c r="J789">
        <v>18765</v>
      </c>
      <c r="K789">
        <v>5</v>
      </c>
      <c r="L789">
        <v>75060</v>
      </c>
      <c r="M789">
        <v>3753</v>
      </c>
      <c r="N789">
        <v>71307</v>
      </c>
    </row>
    <row r="790" spans="1:14" x14ac:dyDescent="0.25">
      <c r="A790">
        <v>10789</v>
      </c>
      <c r="B790" s="4">
        <v>45715</v>
      </c>
      <c r="C790" t="s">
        <v>33</v>
      </c>
      <c r="D790" t="s">
        <v>18</v>
      </c>
      <c r="E790" t="s">
        <v>32</v>
      </c>
      <c r="F790" t="s">
        <v>30</v>
      </c>
      <c r="G790">
        <v>24</v>
      </c>
      <c r="H790" t="str">
        <f t="shared" si="12"/>
        <v>18-24</v>
      </c>
      <c r="I790">
        <v>1</v>
      </c>
      <c r="J790">
        <v>41783</v>
      </c>
      <c r="K790">
        <v>0</v>
      </c>
      <c r="L790">
        <v>41783</v>
      </c>
      <c r="M790">
        <v>0</v>
      </c>
      <c r="N790">
        <v>41783</v>
      </c>
    </row>
    <row r="791" spans="1:14" x14ac:dyDescent="0.25">
      <c r="A791">
        <v>10790</v>
      </c>
      <c r="B791" s="4">
        <v>45716</v>
      </c>
      <c r="C791" t="s">
        <v>17</v>
      </c>
      <c r="D791" t="s">
        <v>22</v>
      </c>
      <c r="E791" t="s">
        <v>25</v>
      </c>
      <c r="F791" t="s">
        <v>30</v>
      </c>
      <c r="G791">
        <v>19</v>
      </c>
      <c r="H791" t="str">
        <f t="shared" si="12"/>
        <v>18-24</v>
      </c>
      <c r="I791">
        <v>3</v>
      </c>
      <c r="J791">
        <v>2521</v>
      </c>
      <c r="K791">
        <v>0</v>
      </c>
      <c r="L791">
        <v>7563</v>
      </c>
      <c r="M791">
        <v>0</v>
      </c>
      <c r="N791">
        <v>7563</v>
      </c>
    </row>
    <row r="792" spans="1:14" x14ac:dyDescent="0.25">
      <c r="A792">
        <v>10791</v>
      </c>
      <c r="B792" s="4">
        <v>45717</v>
      </c>
      <c r="C792" t="s">
        <v>13</v>
      </c>
      <c r="D792" t="s">
        <v>22</v>
      </c>
      <c r="E792" t="s">
        <v>15</v>
      </c>
      <c r="F792" t="s">
        <v>20</v>
      </c>
      <c r="G792">
        <v>19</v>
      </c>
      <c r="H792" t="str">
        <f t="shared" si="12"/>
        <v>18-24</v>
      </c>
      <c r="I792">
        <v>6</v>
      </c>
      <c r="J792">
        <v>2714</v>
      </c>
      <c r="K792">
        <v>10</v>
      </c>
      <c r="L792">
        <v>16284</v>
      </c>
      <c r="M792">
        <v>1628.4</v>
      </c>
      <c r="N792">
        <v>14655.6</v>
      </c>
    </row>
    <row r="793" spans="1:14" x14ac:dyDescent="0.25">
      <c r="A793">
        <v>10792</v>
      </c>
      <c r="B793" s="4">
        <v>45718</v>
      </c>
      <c r="C793" t="s">
        <v>33</v>
      </c>
      <c r="D793" t="s">
        <v>22</v>
      </c>
      <c r="E793" t="s">
        <v>32</v>
      </c>
      <c r="F793" t="s">
        <v>30</v>
      </c>
      <c r="G793">
        <v>50</v>
      </c>
      <c r="H793" t="str">
        <f t="shared" si="12"/>
        <v>45-54</v>
      </c>
      <c r="I793">
        <v>9</v>
      </c>
      <c r="J793">
        <v>34860</v>
      </c>
      <c r="K793">
        <v>10</v>
      </c>
      <c r="L793">
        <v>313740</v>
      </c>
      <c r="M793">
        <v>31374</v>
      </c>
      <c r="N793">
        <v>282366</v>
      </c>
    </row>
    <row r="794" spans="1:14" x14ac:dyDescent="0.25">
      <c r="A794">
        <v>10793</v>
      </c>
      <c r="B794" s="4">
        <v>45719</v>
      </c>
      <c r="C794" t="s">
        <v>17</v>
      </c>
      <c r="D794" t="s">
        <v>18</v>
      </c>
      <c r="E794" t="s">
        <v>25</v>
      </c>
      <c r="F794" t="s">
        <v>31</v>
      </c>
      <c r="G794">
        <v>36</v>
      </c>
      <c r="H794" t="str">
        <f t="shared" si="12"/>
        <v>35-44</v>
      </c>
      <c r="I794">
        <v>4</v>
      </c>
      <c r="J794">
        <v>26283</v>
      </c>
      <c r="K794">
        <v>15</v>
      </c>
      <c r="L794">
        <v>105132</v>
      </c>
      <c r="M794">
        <v>15769.8</v>
      </c>
      <c r="N794">
        <v>89362.2</v>
      </c>
    </row>
    <row r="795" spans="1:14" x14ac:dyDescent="0.25">
      <c r="A795">
        <v>10794</v>
      </c>
      <c r="B795" s="4">
        <v>45720</v>
      </c>
      <c r="C795" t="s">
        <v>13</v>
      </c>
      <c r="D795" t="s">
        <v>29</v>
      </c>
      <c r="E795" t="s">
        <v>32</v>
      </c>
      <c r="F795" t="s">
        <v>31</v>
      </c>
      <c r="G795">
        <v>25</v>
      </c>
      <c r="H795" t="str">
        <f t="shared" si="12"/>
        <v>25-34</v>
      </c>
      <c r="I795">
        <v>4</v>
      </c>
      <c r="J795">
        <v>8092</v>
      </c>
      <c r="K795">
        <v>20</v>
      </c>
      <c r="L795">
        <v>32368</v>
      </c>
      <c r="M795">
        <v>6473.6</v>
      </c>
      <c r="N795">
        <v>25894.400000000001</v>
      </c>
    </row>
    <row r="796" spans="1:14" x14ac:dyDescent="0.25">
      <c r="A796">
        <v>10795</v>
      </c>
      <c r="B796" s="4">
        <v>45721</v>
      </c>
      <c r="C796" t="s">
        <v>13</v>
      </c>
      <c r="D796" t="s">
        <v>14</v>
      </c>
      <c r="E796" t="s">
        <v>19</v>
      </c>
      <c r="F796" t="s">
        <v>24</v>
      </c>
      <c r="G796">
        <v>24</v>
      </c>
      <c r="H796" t="str">
        <f t="shared" si="12"/>
        <v>18-24</v>
      </c>
      <c r="I796">
        <v>2</v>
      </c>
      <c r="J796">
        <v>5125</v>
      </c>
      <c r="K796">
        <v>20</v>
      </c>
      <c r="L796">
        <v>10250</v>
      </c>
      <c r="M796">
        <v>2050</v>
      </c>
      <c r="N796">
        <v>8200</v>
      </c>
    </row>
    <row r="797" spans="1:14" x14ac:dyDescent="0.25">
      <c r="A797">
        <v>10796</v>
      </c>
      <c r="B797" s="4">
        <v>45722</v>
      </c>
      <c r="C797" t="s">
        <v>13</v>
      </c>
      <c r="D797" t="s">
        <v>22</v>
      </c>
      <c r="E797" t="s">
        <v>25</v>
      </c>
      <c r="F797" t="s">
        <v>16</v>
      </c>
      <c r="G797">
        <v>64</v>
      </c>
      <c r="H797" t="str">
        <f t="shared" si="12"/>
        <v>55+</v>
      </c>
      <c r="I797">
        <v>9</v>
      </c>
      <c r="J797">
        <v>30105</v>
      </c>
      <c r="K797">
        <v>5</v>
      </c>
      <c r="L797">
        <v>270945</v>
      </c>
      <c r="M797">
        <v>13547.25</v>
      </c>
      <c r="N797">
        <v>257397.75</v>
      </c>
    </row>
    <row r="798" spans="1:14" x14ac:dyDescent="0.25">
      <c r="A798">
        <v>10797</v>
      </c>
      <c r="B798" s="4">
        <v>45723</v>
      </c>
      <c r="C798" t="s">
        <v>17</v>
      </c>
      <c r="D798" t="s">
        <v>27</v>
      </c>
      <c r="E798" t="s">
        <v>32</v>
      </c>
      <c r="F798" t="s">
        <v>16</v>
      </c>
      <c r="G798">
        <v>61</v>
      </c>
      <c r="H798" t="str">
        <f t="shared" si="12"/>
        <v>55+</v>
      </c>
      <c r="I798">
        <v>4</v>
      </c>
      <c r="J798">
        <v>26536</v>
      </c>
      <c r="K798">
        <v>15</v>
      </c>
      <c r="L798">
        <v>106144</v>
      </c>
      <c r="M798">
        <v>15921.6</v>
      </c>
      <c r="N798">
        <v>90222.399999999994</v>
      </c>
    </row>
    <row r="799" spans="1:14" x14ac:dyDescent="0.25">
      <c r="A799">
        <v>10798</v>
      </c>
      <c r="B799" s="4">
        <v>45724</v>
      </c>
      <c r="C799" t="s">
        <v>17</v>
      </c>
      <c r="D799" t="s">
        <v>18</v>
      </c>
      <c r="E799" t="s">
        <v>25</v>
      </c>
      <c r="F799" t="s">
        <v>28</v>
      </c>
      <c r="G799">
        <v>54</v>
      </c>
      <c r="H799" t="str">
        <f t="shared" si="12"/>
        <v>45-54</v>
      </c>
      <c r="I799">
        <v>2</v>
      </c>
      <c r="J799">
        <v>2965</v>
      </c>
      <c r="K799">
        <v>15</v>
      </c>
      <c r="L799">
        <v>5930</v>
      </c>
      <c r="M799">
        <v>889.5</v>
      </c>
      <c r="N799">
        <v>5040.5</v>
      </c>
    </row>
    <row r="800" spans="1:14" x14ac:dyDescent="0.25">
      <c r="A800">
        <v>10799</v>
      </c>
      <c r="B800" s="4">
        <v>45725</v>
      </c>
      <c r="C800" t="s">
        <v>33</v>
      </c>
      <c r="D800" t="s">
        <v>29</v>
      </c>
      <c r="E800" t="s">
        <v>19</v>
      </c>
      <c r="F800" t="s">
        <v>23</v>
      </c>
      <c r="G800">
        <v>43</v>
      </c>
      <c r="H800" t="str">
        <f t="shared" si="12"/>
        <v>35-44</v>
      </c>
      <c r="I800">
        <v>6</v>
      </c>
      <c r="J800">
        <v>19079</v>
      </c>
      <c r="K800">
        <v>10</v>
      </c>
      <c r="L800">
        <v>114474</v>
      </c>
      <c r="M800">
        <v>11447.4</v>
      </c>
      <c r="N800">
        <v>103026.6</v>
      </c>
    </row>
    <row r="801" spans="1:14" x14ac:dyDescent="0.25">
      <c r="A801">
        <v>10800</v>
      </c>
      <c r="B801" s="4">
        <v>45726</v>
      </c>
      <c r="C801" t="s">
        <v>17</v>
      </c>
      <c r="D801" t="s">
        <v>18</v>
      </c>
      <c r="E801" t="s">
        <v>15</v>
      </c>
      <c r="F801" t="s">
        <v>20</v>
      </c>
      <c r="G801">
        <v>62</v>
      </c>
      <c r="H801" t="str">
        <f t="shared" si="12"/>
        <v>55+</v>
      </c>
      <c r="I801">
        <v>3</v>
      </c>
      <c r="J801">
        <v>12968</v>
      </c>
      <c r="K801">
        <v>5</v>
      </c>
      <c r="L801">
        <v>38904</v>
      </c>
      <c r="M801">
        <v>1945.2</v>
      </c>
      <c r="N801">
        <v>36958.800000000003</v>
      </c>
    </row>
    <row r="802" spans="1:14" x14ac:dyDescent="0.25">
      <c r="A802">
        <v>10801</v>
      </c>
      <c r="B802" s="4">
        <v>45727</v>
      </c>
      <c r="C802" t="s">
        <v>17</v>
      </c>
      <c r="D802" t="s">
        <v>22</v>
      </c>
      <c r="E802" t="s">
        <v>19</v>
      </c>
      <c r="F802" t="s">
        <v>16</v>
      </c>
      <c r="G802">
        <v>52</v>
      </c>
      <c r="H802" t="str">
        <f t="shared" si="12"/>
        <v>45-54</v>
      </c>
      <c r="I802">
        <v>3</v>
      </c>
      <c r="J802">
        <v>26283</v>
      </c>
      <c r="K802">
        <v>5</v>
      </c>
      <c r="L802">
        <v>78849</v>
      </c>
      <c r="M802">
        <v>3942.45</v>
      </c>
      <c r="N802">
        <v>74906.55</v>
      </c>
    </row>
    <row r="803" spans="1:14" x14ac:dyDescent="0.25">
      <c r="A803">
        <v>10802</v>
      </c>
      <c r="B803" s="4">
        <v>45728</v>
      </c>
      <c r="C803" t="s">
        <v>21</v>
      </c>
      <c r="D803" t="s">
        <v>22</v>
      </c>
      <c r="E803" t="s">
        <v>25</v>
      </c>
      <c r="F803" t="s">
        <v>30</v>
      </c>
      <c r="G803">
        <v>25</v>
      </c>
      <c r="H803" t="str">
        <f t="shared" si="12"/>
        <v>25-34</v>
      </c>
      <c r="I803">
        <v>6</v>
      </c>
      <c r="J803">
        <v>43591</v>
      </c>
      <c r="K803">
        <v>15</v>
      </c>
      <c r="L803">
        <v>261546</v>
      </c>
      <c r="M803">
        <v>39231.9</v>
      </c>
      <c r="N803">
        <v>222314.1</v>
      </c>
    </row>
    <row r="804" spans="1:14" x14ac:dyDescent="0.25">
      <c r="A804">
        <v>10803</v>
      </c>
      <c r="B804" s="4">
        <v>45729</v>
      </c>
      <c r="C804" t="s">
        <v>21</v>
      </c>
      <c r="D804" t="s">
        <v>18</v>
      </c>
      <c r="E804" t="s">
        <v>15</v>
      </c>
      <c r="F804" t="s">
        <v>31</v>
      </c>
      <c r="G804">
        <v>48</v>
      </c>
      <c r="H804" t="str">
        <f t="shared" si="12"/>
        <v>45-54</v>
      </c>
      <c r="I804">
        <v>7</v>
      </c>
      <c r="J804">
        <v>19783</v>
      </c>
      <c r="K804">
        <v>0</v>
      </c>
      <c r="L804">
        <v>138481</v>
      </c>
      <c r="M804">
        <v>0</v>
      </c>
      <c r="N804">
        <v>138481</v>
      </c>
    </row>
    <row r="805" spans="1:14" x14ac:dyDescent="0.25">
      <c r="A805">
        <v>10804</v>
      </c>
      <c r="B805" s="4">
        <v>45730</v>
      </c>
      <c r="C805" t="s">
        <v>17</v>
      </c>
      <c r="D805" t="s">
        <v>27</v>
      </c>
      <c r="E805" t="s">
        <v>15</v>
      </c>
      <c r="F805" t="s">
        <v>28</v>
      </c>
      <c r="G805">
        <v>29</v>
      </c>
      <c r="H805" t="str">
        <f t="shared" si="12"/>
        <v>25-34</v>
      </c>
      <c r="I805">
        <v>3</v>
      </c>
      <c r="J805">
        <v>24855</v>
      </c>
      <c r="K805">
        <v>5</v>
      </c>
      <c r="L805">
        <v>74565</v>
      </c>
      <c r="M805">
        <v>3728.25</v>
      </c>
      <c r="N805">
        <v>70836.75</v>
      </c>
    </row>
    <row r="806" spans="1:14" x14ac:dyDescent="0.25">
      <c r="A806">
        <v>10805</v>
      </c>
      <c r="B806" s="4">
        <v>45731</v>
      </c>
      <c r="C806" t="s">
        <v>17</v>
      </c>
      <c r="D806" t="s">
        <v>14</v>
      </c>
      <c r="E806" t="s">
        <v>19</v>
      </c>
      <c r="F806" t="s">
        <v>28</v>
      </c>
      <c r="G806">
        <v>30</v>
      </c>
      <c r="H806" t="str">
        <f t="shared" si="12"/>
        <v>25-34</v>
      </c>
      <c r="I806">
        <v>2</v>
      </c>
      <c r="J806">
        <v>49604</v>
      </c>
      <c r="K806">
        <v>10</v>
      </c>
      <c r="L806">
        <v>99208</v>
      </c>
      <c r="M806">
        <v>9920.7999999999993</v>
      </c>
      <c r="N806">
        <v>89287.2</v>
      </c>
    </row>
    <row r="807" spans="1:14" x14ac:dyDescent="0.25">
      <c r="A807">
        <v>10806</v>
      </c>
      <c r="B807" s="4">
        <v>45732</v>
      </c>
      <c r="C807" t="s">
        <v>13</v>
      </c>
      <c r="D807" t="s">
        <v>18</v>
      </c>
      <c r="E807" t="s">
        <v>15</v>
      </c>
      <c r="F807" t="s">
        <v>31</v>
      </c>
      <c r="G807">
        <v>33</v>
      </c>
      <c r="H807" t="str">
        <f t="shared" si="12"/>
        <v>25-34</v>
      </c>
      <c r="I807">
        <v>2</v>
      </c>
      <c r="J807">
        <v>22506</v>
      </c>
      <c r="K807">
        <v>0</v>
      </c>
      <c r="L807">
        <v>45012</v>
      </c>
      <c r="M807">
        <v>0</v>
      </c>
      <c r="N807">
        <v>45012</v>
      </c>
    </row>
    <row r="808" spans="1:14" x14ac:dyDescent="0.25">
      <c r="A808">
        <v>10807</v>
      </c>
      <c r="B808" s="4">
        <v>45733</v>
      </c>
      <c r="C808" t="s">
        <v>17</v>
      </c>
      <c r="D808" t="s">
        <v>14</v>
      </c>
      <c r="E808" t="s">
        <v>32</v>
      </c>
      <c r="F808" t="s">
        <v>20</v>
      </c>
      <c r="G808">
        <v>21</v>
      </c>
      <c r="H808" t="str">
        <f t="shared" si="12"/>
        <v>18-24</v>
      </c>
      <c r="I808">
        <v>9</v>
      </c>
      <c r="J808">
        <v>3512</v>
      </c>
      <c r="K808">
        <v>5</v>
      </c>
      <c r="L808">
        <v>31608</v>
      </c>
      <c r="M808">
        <v>1580.4</v>
      </c>
      <c r="N808">
        <v>30027.599999999999</v>
      </c>
    </row>
    <row r="809" spans="1:14" x14ac:dyDescent="0.25">
      <c r="A809">
        <v>10808</v>
      </c>
      <c r="B809" s="4">
        <v>45734</v>
      </c>
      <c r="C809" t="s">
        <v>17</v>
      </c>
      <c r="D809" t="s">
        <v>18</v>
      </c>
      <c r="E809" t="s">
        <v>25</v>
      </c>
      <c r="F809" t="s">
        <v>31</v>
      </c>
      <c r="G809">
        <v>23</v>
      </c>
      <c r="H809" t="str">
        <f t="shared" si="12"/>
        <v>18-24</v>
      </c>
      <c r="I809">
        <v>6</v>
      </c>
      <c r="J809">
        <v>12392</v>
      </c>
      <c r="K809">
        <v>20</v>
      </c>
      <c r="L809">
        <v>74352</v>
      </c>
      <c r="M809">
        <v>14870.4</v>
      </c>
      <c r="N809">
        <v>59481.599999999999</v>
      </c>
    </row>
    <row r="810" spans="1:14" x14ac:dyDescent="0.25">
      <c r="A810">
        <v>10809</v>
      </c>
      <c r="B810" s="4">
        <v>45735</v>
      </c>
      <c r="C810" t="s">
        <v>17</v>
      </c>
      <c r="D810" t="s">
        <v>22</v>
      </c>
      <c r="E810" t="s">
        <v>19</v>
      </c>
      <c r="F810" t="s">
        <v>31</v>
      </c>
      <c r="G810">
        <v>35</v>
      </c>
      <c r="H810" t="str">
        <f t="shared" si="12"/>
        <v>35-44</v>
      </c>
      <c r="I810">
        <v>3</v>
      </c>
      <c r="J810">
        <v>35705</v>
      </c>
      <c r="K810">
        <v>15</v>
      </c>
      <c r="L810">
        <v>107115</v>
      </c>
      <c r="M810">
        <v>16067.25</v>
      </c>
      <c r="N810">
        <v>91047.75</v>
      </c>
    </row>
    <row r="811" spans="1:14" x14ac:dyDescent="0.25">
      <c r="A811">
        <v>10810</v>
      </c>
      <c r="B811" s="4">
        <v>45736</v>
      </c>
      <c r="C811" t="s">
        <v>33</v>
      </c>
      <c r="D811" t="s">
        <v>22</v>
      </c>
      <c r="E811" t="s">
        <v>19</v>
      </c>
      <c r="F811" t="s">
        <v>20</v>
      </c>
      <c r="G811">
        <v>59</v>
      </c>
      <c r="H811" t="str">
        <f t="shared" si="12"/>
        <v>55+</v>
      </c>
      <c r="I811">
        <v>8</v>
      </c>
      <c r="J811">
        <v>3783</v>
      </c>
      <c r="K811">
        <v>10</v>
      </c>
      <c r="L811">
        <v>30264</v>
      </c>
      <c r="M811">
        <v>3026.4</v>
      </c>
      <c r="N811">
        <v>27237.599999999999</v>
      </c>
    </row>
    <row r="812" spans="1:14" x14ac:dyDescent="0.25">
      <c r="A812">
        <v>10811</v>
      </c>
      <c r="B812" s="4">
        <v>45737</v>
      </c>
      <c r="C812" t="s">
        <v>21</v>
      </c>
      <c r="D812" t="s">
        <v>14</v>
      </c>
      <c r="E812" t="s">
        <v>25</v>
      </c>
      <c r="F812" t="s">
        <v>23</v>
      </c>
      <c r="G812">
        <v>49</v>
      </c>
      <c r="H812" t="str">
        <f t="shared" si="12"/>
        <v>45-54</v>
      </c>
      <c r="I812">
        <v>1</v>
      </c>
      <c r="J812">
        <v>40991</v>
      </c>
      <c r="K812">
        <v>10</v>
      </c>
      <c r="L812">
        <v>40991</v>
      </c>
      <c r="M812">
        <v>4099.1000000000004</v>
      </c>
      <c r="N812">
        <v>36891.9</v>
      </c>
    </row>
    <row r="813" spans="1:14" x14ac:dyDescent="0.25">
      <c r="A813">
        <v>10812</v>
      </c>
      <c r="B813" s="4">
        <v>45738</v>
      </c>
      <c r="C813" t="s">
        <v>33</v>
      </c>
      <c r="D813" t="s">
        <v>18</v>
      </c>
      <c r="E813" t="s">
        <v>15</v>
      </c>
      <c r="F813" t="s">
        <v>24</v>
      </c>
      <c r="G813">
        <v>36</v>
      </c>
      <c r="H813" t="str">
        <f t="shared" si="12"/>
        <v>35-44</v>
      </c>
      <c r="I813">
        <v>3</v>
      </c>
      <c r="J813">
        <v>33803</v>
      </c>
      <c r="K813">
        <v>0</v>
      </c>
      <c r="L813">
        <v>101409</v>
      </c>
      <c r="M813">
        <v>0</v>
      </c>
      <c r="N813">
        <v>101409</v>
      </c>
    </row>
    <row r="814" spans="1:14" x14ac:dyDescent="0.25">
      <c r="A814">
        <v>10813</v>
      </c>
      <c r="B814" s="4">
        <v>45739</v>
      </c>
      <c r="C814" t="s">
        <v>33</v>
      </c>
      <c r="D814" t="s">
        <v>22</v>
      </c>
      <c r="E814" t="s">
        <v>32</v>
      </c>
      <c r="F814" t="s">
        <v>31</v>
      </c>
      <c r="G814">
        <v>51</v>
      </c>
      <c r="H814" t="str">
        <f t="shared" si="12"/>
        <v>45-54</v>
      </c>
      <c r="I814">
        <v>1</v>
      </c>
      <c r="J814">
        <v>15392</v>
      </c>
      <c r="K814">
        <v>5</v>
      </c>
      <c r="L814">
        <v>15392</v>
      </c>
      <c r="M814">
        <v>769.6</v>
      </c>
      <c r="N814">
        <v>14622.4</v>
      </c>
    </row>
    <row r="815" spans="1:14" x14ac:dyDescent="0.25">
      <c r="A815">
        <v>10814</v>
      </c>
      <c r="B815" s="4">
        <v>45740</v>
      </c>
      <c r="C815" t="s">
        <v>17</v>
      </c>
      <c r="D815" t="s">
        <v>22</v>
      </c>
      <c r="E815" t="s">
        <v>15</v>
      </c>
      <c r="F815" t="s">
        <v>26</v>
      </c>
      <c r="G815">
        <v>27</v>
      </c>
      <c r="H815" t="str">
        <f t="shared" si="12"/>
        <v>25-34</v>
      </c>
      <c r="I815">
        <v>2</v>
      </c>
      <c r="J815">
        <v>47109</v>
      </c>
      <c r="K815">
        <v>15</v>
      </c>
      <c r="L815">
        <v>94218</v>
      </c>
      <c r="M815">
        <v>14132.7</v>
      </c>
      <c r="N815">
        <v>80085.3</v>
      </c>
    </row>
    <row r="816" spans="1:14" x14ac:dyDescent="0.25">
      <c r="A816">
        <v>10815</v>
      </c>
      <c r="B816" s="4">
        <v>45741</v>
      </c>
      <c r="C816" t="s">
        <v>13</v>
      </c>
      <c r="D816" t="s">
        <v>14</v>
      </c>
      <c r="E816" t="s">
        <v>15</v>
      </c>
      <c r="F816" t="s">
        <v>16</v>
      </c>
      <c r="G816">
        <v>27</v>
      </c>
      <c r="H816" t="str">
        <f t="shared" si="12"/>
        <v>25-34</v>
      </c>
      <c r="I816">
        <v>1</v>
      </c>
      <c r="J816">
        <v>41063</v>
      </c>
      <c r="K816">
        <v>15</v>
      </c>
      <c r="L816">
        <v>41063</v>
      </c>
      <c r="M816">
        <v>6159.45</v>
      </c>
      <c r="N816">
        <v>34903.550000000003</v>
      </c>
    </row>
    <row r="817" spans="1:14" x14ac:dyDescent="0.25">
      <c r="A817">
        <v>10816</v>
      </c>
      <c r="B817" s="4">
        <v>45742</v>
      </c>
      <c r="C817" t="s">
        <v>13</v>
      </c>
      <c r="D817" t="s">
        <v>29</v>
      </c>
      <c r="E817" t="s">
        <v>25</v>
      </c>
      <c r="F817" t="s">
        <v>24</v>
      </c>
      <c r="G817">
        <v>42</v>
      </c>
      <c r="H817" t="str">
        <f t="shared" si="12"/>
        <v>35-44</v>
      </c>
      <c r="I817">
        <v>5</v>
      </c>
      <c r="J817">
        <v>37800</v>
      </c>
      <c r="K817">
        <v>0</v>
      </c>
      <c r="L817">
        <v>189000</v>
      </c>
      <c r="M817">
        <v>0</v>
      </c>
      <c r="N817">
        <v>189000</v>
      </c>
    </row>
    <row r="818" spans="1:14" x14ac:dyDescent="0.25">
      <c r="A818">
        <v>10817</v>
      </c>
      <c r="B818" s="4">
        <v>45743</v>
      </c>
      <c r="C818" t="s">
        <v>13</v>
      </c>
      <c r="D818" t="s">
        <v>18</v>
      </c>
      <c r="E818" t="s">
        <v>19</v>
      </c>
      <c r="F818" t="s">
        <v>20</v>
      </c>
      <c r="G818">
        <v>58</v>
      </c>
      <c r="H818" t="str">
        <f t="shared" si="12"/>
        <v>55+</v>
      </c>
      <c r="I818">
        <v>8</v>
      </c>
      <c r="J818">
        <v>11754</v>
      </c>
      <c r="K818">
        <v>0</v>
      </c>
      <c r="L818">
        <v>94032</v>
      </c>
      <c r="M818">
        <v>0</v>
      </c>
      <c r="N818">
        <v>94032</v>
      </c>
    </row>
    <row r="819" spans="1:14" x14ac:dyDescent="0.25">
      <c r="A819">
        <v>10818</v>
      </c>
      <c r="B819" s="4">
        <v>45744</v>
      </c>
      <c r="C819" t="s">
        <v>17</v>
      </c>
      <c r="D819" t="s">
        <v>29</v>
      </c>
      <c r="E819" t="s">
        <v>32</v>
      </c>
      <c r="F819" t="s">
        <v>26</v>
      </c>
      <c r="G819">
        <v>28</v>
      </c>
      <c r="H819" t="str">
        <f t="shared" si="12"/>
        <v>25-34</v>
      </c>
      <c r="I819">
        <v>7</v>
      </c>
      <c r="J819">
        <v>33995</v>
      </c>
      <c r="K819">
        <v>0</v>
      </c>
      <c r="L819">
        <v>237965</v>
      </c>
      <c r="M819">
        <v>0</v>
      </c>
      <c r="N819">
        <v>237965</v>
      </c>
    </row>
    <row r="820" spans="1:14" x14ac:dyDescent="0.25">
      <c r="A820">
        <v>10819</v>
      </c>
      <c r="B820" s="4">
        <v>45745</v>
      </c>
      <c r="C820" t="s">
        <v>17</v>
      </c>
      <c r="D820" t="s">
        <v>29</v>
      </c>
      <c r="E820" t="s">
        <v>32</v>
      </c>
      <c r="F820" t="s">
        <v>24</v>
      </c>
      <c r="G820">
        <v>49</v>
      </c>
      <c r="H820" t="str">
        <f t="shared" si="12"/>
        <v>45-54</v>
      </c>
      <c r="I820">
        <v>5</v>
      </c>
      <c r="J820">
        <v>41835</v>
      </c>
      <c r="K820">
        <v>0</v>
      </c>
      <c r="L820">
        <v>209175</v>
      </c>
      <c r="M820">
        <v>0</v>
      </c>
      <c r="N820">
        <v>209175</v>
      </c>
    </row>
    <row r="821" spans="1:14" x14ac:dyDescent="0.25">
      <c r="A821">
        <v>10820</v>
      </c>
      <c r="B821" s="4">
        <v>45746</v>
      </c>
      <c r="C821" t="s">
        <v>33</v>
      </c>
      <c r="D821" t="s">
        <v>27</v>
      </c>
      <c r="E821" t="s">
        <v>25</v>
      </c>
      <c r="F821" t="s">
        <v>23</v>
      </c>
      <c r="G821">
        <v>57</v>
      </c>
      <c r="H821" t="str">
        <f t="shared" si="12"/>
        <v>55+</v>
      </c>
      <c r="I821">
        <v>5</v>
      </c>
      <c r="J821">
        <v>34983</v>
      </c>
      <c r="K821">
        <v>15</v>
      </c>
      <c r="L821">
        <v>174915</v>
      </c>
      <c r="M821">
        <v>26237.25</v>
      </c>
      <c r="N821">
        <v>148677.75</v>
      </c>
    </row>
    <row r="822" spans="1:14" x14ac:dyDescent="0.25">
      <c r="A822">
        <v>10821</v>
      </c>
      <c r="B822" s="4">
        <v>45747</v>
      </c>
      <c r="C822" t="s">
        <v>33</v>
      </c>
      <c r="D822" t="s">
        <v>27</v>
      </c>
      <c r="E822" t="s">
        <v>19</v>
      </c>
      <c r="F822" t="s">
        <v>26</v>
      </c>
      <c r="G822">
        <v>19</v>
      </c>
      <c r="H822" t="str">
        <f t="shared" si="12"/>
        <v>18-24</v>
      </c>
      <c r="I822">
        <v>1</v>
      </c>
      <c r="J822">
        <v>47426</v>
      </c>
      <c r="K822">
        <v>0</v>
      </c>
      <c r="L822">
        <v>47426</v>
      </c>
      <c r="M822">
        <v>0</v>
      </c>
      <c r="N822">
        <v>47426</v>
      </c>
    </row>
    <row r="823" spans="1:14" x14ac:dyDescent="0.25">
      <c r="A823">
        <v>10822</v>
      </c>
      <c r="B823" s="4">
        <v>45748</v>
      </c>
      <c r="C823" t="s">
        <v>13</v>
      </c>
      <c r="D823" t="s">
        <v>22</v>
      </c>
      <c r="E823" t="s">
        <v>19</v>
      </c>
      <c r="F823" t="s">
        <v>26</v>
      </c>
      <c r="G823">
        <v>37</v>
      </c>
      <c r="H823" t="str">
        <f t="shared" si="12"/>
        <v>35-44</v>
      </c>
      <c r="I823">
        <v>9</v>
      </c>
      <c r="J823">
        <v>5069</v>
      </c>
      <c r="K823">
        <v>10</v>
      </c>
      <c r="L823">
        <v>45621</v>
      </c>
      <c r="M823">
        <v>4562.1000000000004</v>
      </c>
      <c r="N823">
        <v>41058.9</v>
      </c>
    </row>
    <row r="824" spans="1:14" x14ac:dyDescent="0.25">
      <c r="A824">
        <v>10823</v>
      </c>
      <c r="B824" s="4">
        <v>45749</v>
      </c>
      <c r="C824" t="s">
        <v>17</v>
      </c>
      <c r="D824" t="s">
        <v>27</v>
      </c>
      <c r="E824" t="s">
        <v>25</v>
      </c>
      <c r="F824" t="s">
        <v>28</v>
      </c>
      <c r="G824">
        <v>29</v>
      </c>
      <c r="H824" t="str">
        <f t="shared" si="12"/>
        <v>25-34</v>
      </c>
      <c r="I824">
        <v>8</v>
      </c>
      <c r="J824">
        <v>48177</v>
      </c>
      <c r="K824">
        <v>0</v>
      </c>
      <c r="L824">
        <v>385416</v>
      </c>
      <c r="M824">
        <v>0</v>
      </c>
      <c r="N824">
        <v>385416</v>
      </c>
    </row>
    <row r="825" spans="1:14" x14ac:dyDescent="0.25">
      <c r="A825">
        <v>10824</v>
      </c>
      <c r="B825" s="4">
        <v>45750</v>
      </c>
      <c r="C825" t="s">
        <v>17</v>
      </c>
      <c r="D825" t="s">
        <v>27</v>
      </c>
      <c r="E825" t="s">
        <v>15</v>
      </c>
      <c r="F825" t="s">
        <v>30</v>
      </c>
      <c r="G825">
        <v>26</v>
      </c>
      <c r="H825" t="str">
        <f t="shared" si="12"/>
        <v>25-34</v>
      </c>
      <c r="I825">
        <v>1</v>
      </c>
      <c r="J825">
        <v>43077</v>
      </c>
      <c r="K825">
        <v>0</v>
      </c>
      <c r="L825">
        <v>43077</v>
      </c>
      <c r="M825">
        <v>0</v>
      </c>
      <c r="N825">
        <v>43077</v>
      </c>
    </row>
    <row r="826" spans="1:14" x14ac:dyDescent="0.25">
      <c r="A826">
        <v>10825</v>
      </c>
      <c r="B826" s="4">
        <v>45751</v>
      </c>
      <c r="C826" t="s">
        <v>33</v>
      </c>
      <c r="D826" t="s">
        <v>22</v>
      </c>
      <c r="E826" t="s">
        <v>25</v>
      </c>
      <c r="F826" t="s">
        <v>16</v>
      </c>
      <c r="G826">
        <v>59</v>
      </c>
      <c r="H826" t="str">
        <f t="shared" si="12"/>
        <v>55+</v>
      </c>
      <c r="I826">
        <v>2</v>
      </c>
      <c r="J826">
        <v>19848</v>
      </c>
      <c r="K826">
        <v>15</v>
      </c>
      <c r="L826">
        <v>39696</v>
      </c>
      <c r="M826">
        <v>5954.4</v>
      </c>
      <c r="N826">
        <v>33741.599999999999</v>
      </c>
    </row>
    <row r="827" spans="1:14" x14ac:dyDescent="0.25">
      <c r="A827">
        <v>10826</v>
      </c>
      <c r="B827" s="4">
        <v>45752</v>
      </c>
      <c r="C827" t="s">
        <v>33</v>
      </c>
      <c r="D827" t="s">
        <v>29</v>
      </c>
      <c r="E827" t="s">
        <v>15</v>
      </c>
      <c r="F827" t="s">
        <v>24</v>
      </c>
      <c r="G827">
        <v>41</v>
      </c>
      <c r="H827" t="str">
        <f t="shared" si="12"/>
        <v>35-44</v>
      </c>
      <c r="I827">
        <v>2</v>
      </c>
      <c r="J827">
        <v>34094</v>
      </c>
      <c r="K827">
        <v>5</v>
      </c>
      <c r="L827">
        <v>68188</v>
      </c>
      <c r="M827">
        <v>3409.4</v>
      </c>
      <c r="N827">
        <v>64778.6</v>
      </c>
    </row>
    <row r="828" spans="1:14" x14ac:dyDescent="0.25">
      <c r="A828">
        <v>10827</v>
      </c>
      <c r="B828" s="4">
        <v>45753</v>
      </c>
      <c r="C828" t="s">
        <v>13</v>
      </c>
      <c r="D828" t="s">
        <v>29</v>
      </c>
      <c r="E828" t="s">
        <v>19</v>
      </c>
      <c r="F828" t="s">
        <v>24</v>
      </c>
      <c r="G828">
        <v>60</v>
      </c>
      <c r="H828" t="str">
        <f t="shared" si="12"/>
        <v>55+</v>
      </c>
      <c r="I828">
        <v>7</v>
      </c>
      <c r="J828">
        <v>37960</v>
      </c>
      <c r="K828">
        <v>20</v>
      </c>
      <c r="L828">
        <v>265720</v>
      </c>
      <c r="M828">
        <v>53144</v>
      </c>
      <c r="N828">
        <v>212576</v>
      </c>
    </row>
    <row r="829" spans="1:14" x14ac:dyDescent="0.25">
      <c r="A829">
        <v>10828</v>
      </c>
      <c r="B829" s="4">
        <v>45754</v>
      </c>
      <c r="C829" t="s">
        <v>17</v>
      </c>
      <c r="D829" t="s">
        <v>27</v>
      </c>
      <c r="E829" t="s">
        <v>32</v>
      </c>
      <c r="F829" t="s">
        <v>28</v>
      </c>
      <c r="G829">
        <v>53</v>
      </c>
      <c r="H829" t="str">
        <f t="shared" si="12"/>
        <v>45-54</v>
      </c>
      <c r="I829">
        <v>2</v>
      </c>
      <c r="J829">
        <v>3227</v>
      </c>
      <c r="K829">
        <v>20</v>
      </c>
      <c r="L829">
        <v>6454</v>
      </c>
      <c r="M829">
        <v>1290.8</v>
      </c>
      <c r="N829">
        <v>5163.2</v>
      </c>
    </row>
    <row r="830" spans="1:14" x14ac:dyDescent="0.25">
      <c r="A830">
        <v>10829</v>
      </c>
      <c r="B830" s="4">
        <v>45755</v>
      </c>
      <c r="C830" t="s">
        <v>33</v>
      </c>
      <c r="D830" t="s">
        <v>29</v>
      </c>
      <c r="E830" t="s">
        <v>25</v>
      </c>
      <c r="F830" t="s">
        <v>16</v>
      </c>
      <c r="G830">
        <v>47</v>
      </c>
      <c r="H830" t="str">
        <f t="shared" si="12"/>
        <v>45-54</v>
      </c>
      <c r="I830">
        <v>6</v>
      </c>
      <c r="J830">
        <v>39957</v>
      </c>
      <c r="K830">
        <v>20</v>
      </c>
      <c r="L830">
        <v>239742</v>
      </c>
      <c r="M830">
        <v>47948.4</v>
      </c>
      <c r="N830">
        <v>191793.6</v>
      </c>
    </row>
    <row r="831" spans="1:14" x14ac:dyDescent="0.25">
      <c r="A831">
        <v>10830</v>
      </c>
      <c r="B831" s="4">
        <v>45756</v>
      </c>
      <c r="C831" t="s">
        <v>21</v>
      </c>
      <c r="D831" t="s">
        <v>29</v>
      </c>
      <c r="E831" t="s">
        <v>15</v>
      </c>
      <c r="F831" t="s">
        <v>30</v>
      </c>
      <c r="G831">
        <v>32</v>
      </c>
      <c r="H831" t="str">
        <f t="shared" si="12"/>
        <v>25-34</v>
      </c>
      <c r="I831">
        <v>5</v>
      </c>
      <c r="J831">
        <v>44213</v>
      </c>
      <c r="K831">
        <v>20</v>
      </c>
      <c r="L831">
        <v>221065</v>
      </c>
      <c r="M831">
        <v>44213</v>
      </c>
      <c r="N831">
        <v>176852</v>
      </c>
    </row>
    <row r="832" spans="1:14" x14ac:dyDescent="0.25">
      <c r="A832">
        <v>10831</v>
      </c>
      <c r="B832" s="4">
        <v>45757</v>
      </c>
      <c r="C832" t="s">
        <v>21</v>
      </c>
      <c r="D832" t="s">
        <v>29</v>
      </c>
      <c r="E832" t="s">
        <v>15</v>
      </c>
      <c r="F832" t="s">
        <v>28</v>
      </c>
      <c r="G832">
        <v>56</v>
      </c>
      <c r="H832" t="str">
        <f t="shared" si="12"/>
        <v>55+</v>
      </c>
      <c r="I832">
        <v>9</v>
      </c>
      <c r="J832">
        <v>39697</v>
      </c>
      <c r="K832">
        <v>10</v>
      </c>
      <c r="L832">
        <v>357273</v>
      </c>
      <c r="M832">
        <v>35727.300000000003</v>
      </c>
      <c r="N832">
        <v>321545.7</v>
      </c>
    </row>
    <row r="833" spans="1:14" x14ac:dyDescent="0.25">
      <c r="A833">
        <v>10832</v>
      </c>
      <c r="B833" s="4">
        <v>45758</v>
      </c>
      <c r="C833" t="s">
        <v>21</v>
      </c>
      <c r="D833" t="s">
        <v>29</v>
      </c>
      <c r="E833" t="s">
        <v>25</v>
      </c>
      <c r="F833" t="s">
        <v>20</v>
      </c>
      <c r="G833">
        <v>19</v>
      </c>
      <c r="H833" t="str">
        <f t="shared" si="12"/>
        <v>18-24</v>
      </c>
      <c r="I833">
        <v>6</v>
      </c>
      <c r="J833">
        <v>34670</v>
      </c>
      <c r="K833">
        <v>10</v>
      </c>
      <c r="L833">
        <v>208020</v>
      </c>
      <c r="M833">
        <v>20802</v>
      </c>
      <c r="N833">
        <v>187218</v>
      </c>
    </row>
    <row r="834" spans="1:14" x14ac:dyDescent="0.25">
      <c r="A834">
        <v>10833</v>
      </c>
      <c r="B834" s="4">
        <v>45759</v>
      </c>
      <c r="C834" t="s">
        <v>13</v>
      </c>
      <c r="D834" t="s">
        <v>29</v>
      </c>
      <c r="E834" t="s">
        <v>32</v>
      </c>
      <c r="F834" t="s">
        <v>20</v>
      </c>
      <c r="G834">
        <v>48</v>
      </c>
      <c r="H834" t="str">
        <f t="shared" si="12"/>
        <v>45-54</v>
      </c>
      <c r="I834">
        <v>9</v>
      </c>
      <c r="J834">
        <v>49523</v>
      </c>
      <c r="K834">
        <v>0</v>
      </c>
      <c r="L834">
        <v>445707</v>
      </c>
      <c r="M834">
        <v>0</v>
      </c>
      <c r="N834">
        <v>445707</v>
      </c>
    </row>
    <row r="835" spans="1:14" x14ac:dyDescent="0.25">
      <c r="A835">
        <v>10834</v>
      </c>
      <c r="B835" s="4">
        <v>45760</v>
      </c>
      <c r="C835" t="s">
        <v>17</v>
      </c>
      <c r="D835" t="s">
        <v>14</v>
      </c>
      <c r="E835" t="s">
        <v>32</v>
      </c>
      <c r="F835" t="s">
        <v>23</v>
      </c>
      <c r="G835">
        <v>57</v>
      </c>
      <c r="H835" t="str">
        <f t="shared" ref="H835:H898" si="13">IF(G835&lt;25,"18-24",IF(G835&lt;35,"25-34",IF(G835&lt;45,"35-44",IF(G835&lt;55,"45-54","55+"))))</f>
        <v>55+</v>
      </c>
      <c r="I835">
        <v>5</v>
      </c>
      <c r="J835">
        <v>18346</v>
      </c>
      <c r="K835">
        <v>5</v>
      </c>
      <c r="L835">
        <v>91730</v>
      </c>
      <c r="M835">
        <v>4586.5</v>
      </c>
      <c r="N835">
        <v>87143.5</v>
      </c>
    </row>
    <row r="836" spans="1:14" x14ac:dyDescent="0.25">
      <c r="A836">
        <v>10835</v>
      </c>
      <c r="B836" s="4">
        <v>45761</v>
      </c>
      <c r="C836" t="s">
        <v>21</v>
      </c>
      <c r="D836" t="s">
        <v>29</v>
      </c>
      <c r="E836" t="s">
        <v>19</v>
      </c>
      <c r="F836" t="s">
        <v>24</v>
      </c>
      <c r="G836">
        <v>45</v>
      </c>
      <c r="H836" t="str">
        <f t="shared" si="13"/>
        <v>45-54</v>
      </c>
      <c r="I836">
        <v>9</v>
      </c>
      <c r="J836">
        <v>24917</v>
      </c>
      <c r="K836">
        <v>20</v>
      </c>
      <c r="L836">
        <v>224253</v>
      </c>
      <c r="M836">
        <v>44850.6</v>
      </c>
      <c r="N836">
        <v>179402.4</v>
      </c>
    </row>
    <row r="837" spans="1:14" x14ac:dyDescent="0.25">
      <c r="A837">
        <v>10836</v>
      </c>
      <c r="B837" s="4">
        <v>45762</v>
      </c>
      <c r="C837" t="s">
        <v>33</v>
      </c>
      <c r="D837" t="s">
        <v>29</v>
      </c>
      <c r="E837" t="s">
        <v>32</v>
      </c>
      <c r="F837" t="s">
        <v>28</v>
      </c>
      <c r="G837">
        <v>37</v>
      </c>
      <c r="H837" t="str">
        <f t="shared" si="13"/>
        <v>35-44</v>
      </c>
      <c r="I837">
        <v>4</v>
      </c>
      <c r="J837">
        <v>34427</v>
      </c>
      <c r="K837">
        <v>20</v>
      </c>
      <c r="L837">
        <v>137708</v>
      </c>
      <c r="M837">
        <v>27541.599999999999</v>
      </c>
      <c r="N837">
        <v>110166.39999999999</v>
      </c>
    </row>
    <row r="838" spans="1:14" x14ac:dyDescent="0.25">
      <c r="A838">
        <v>10837</v>
      </c>
      <c r="B838" s="4">
        <v>45763</v>
      </c>
      <c r="C838" t="s">
        <v>21</v>
      </c>
      <c r="D838" t="s">
        <v>22</v>
      </c>
      <c r="E838" t="s">
        <v>15</v>
      </c>
      <c r="F838" t="s">
        <v>26</v>
      </c>
      <c r="G838">
        <v>50</v>
      </c>
      <c r="H838" t="str">
        <f t="shared" si="13"/>
        <v>45-54</v>
      </c>
      <c r="I838">
        <v>6</v>
      </c>
      <c r="J838">
        <v>44296</v>
      </c>
      <c r="K838">
        <v>10</v>
      </c>
      <c r="L838">
        <v>265776</v>
      </c>
      <c r="M838">
        <v>26577.599999999999</v>
      </c>
      <c r="N838">
        <v>239198.4</v>
      </c>
    </row>
    <row r="839" spans="1:14" x14ac:dyDescent="0.25">
      <c r="A839">
        <v>10838</v>
      </c>
      <c r="B839" s="4">
        <v>45764</v>
      </c>
      <c r="C839" t="s">
        <v>21</v>
      </c>
      <c r="D839" t="s">
        <v>14</v>
      </c>
      <c r="E839" t="s">
        <v>19</v>
      </c>
      <c r="F839" t="s">
        <v>16</v>
      </c>
      <c r="G839">
        <v>29</v>
      </c>
      <c r="H839" t="str">
        <f t="shared" si="13"/>
        <v>25-34</v>
      </c>
      <c r="I839">
        <v>2</v>
      </c>
      <c r="J839">
        <v>11734</v>
      </c>
      <c r="K839">
        <v>5</v>
      </c>
      <c r="L839">
        <v>23468</v>
      </c>
      <c r="M839">
        <v>1173.4000000000001</v>
      </c>
      <c r="N839">
        <v>22294.6</v>
      </c>
    </row>
    <row r="840" spans="1:14" x14ac:dyDescent="0.25">
      <c r="A840">
        <v>10839</v>
      </c>
      <c r="B840" s="4">
        <v>45765</v>
      </c>
      <c r="C840" t="s">
        <v>13</v>
      </c>
      <c r="D840" t="s">
        <v>18</v>
      </c>
      <c r="E840" t="s">
        <v>32</v>
      </c>
      <c r="F840" t="s">
        <v>30</v>
      </c>
      <c r="G840">
        <v>58</v>
      </c>
      <c r="H840" t="str">
        <f t="shared" si="13"/>
        <v>55+</v>
      </c>
      <c r="I840">
        <v>6</v>
      </c>
      <c r="J840">
        <v>13180</v>
      </c>
      <c r="K840">
        <v>15</v>
      </c>
      <c r="L840">
        <v>79080</v>
      </c>
      <c r="M840">
        <v>11862</v>
      </c>
      <c r="N840">
        <v>67218</v>
      </c>
    </row>
    <row r="841" spans="1:14" x14ac:dyDescent="0.25">
      <c r="A841">
        <v>10840</v>
      </c>
      <c r="B841" s="4">
        <v>45766</v>
      </c>
      <c r="C841" t="s">
        <v>33</v>
      </c>
      <c r="D841" t="s">
        <v>29</v>
      </c>
      <c r="E841" t="s">
        <v>32</v>
      </c>
      <c r="F841" t="s">
        <v>31</v>
      </c>
      <c r="G841">
        <v>41</v>
      </c>
      <c r="H841" t="str">
        <f t="shared" si="13"/>
        <v>35-44</v>
      </c>
      <c r="I841">
        <v>5</v>
      </c>
      <c r="J841">
        <v>6269</v>
      </c>
      <c r="K841">
        <v>20</v>
      </c>
      <c r="L841">
        <v>31345</v>
      </c>
      <c r="M841">
        <v>6269</v>
      </c>
      <c r="N841">
        <v>25076</v>
      </c>
    </row>
    <row r="842" spans="1:14" x14ac:dyDescent="0.25">
      <c r="A842">
        <v>10841</v>
      </c>
      <c r="B842" s="4">
        <v>45767</v>
      </c>
      <c r="C842" t="s">
        <v>17</v>
      </c>
      <c r="D842" t="s">
        <v>22</v>
      </c>
      <c r="E842" t="s">
        <v>32</v>
      </c>
      <c r="F842" t="s">
        <v>24</v>
      </c>
      <c r="G842">
        <v>39</v>
      </c>
      <c r="H842" t="str">
        <f t="shared" si="13"/>
        <v>35-44</v>
      </c>
      <c r="I842">
        <v>3</v>
      </c>
      <c r="J842">
        <v>43860</v>
      </c>
      <c r="K842">
        <v>5</v>
      </c>
      <c r="L842">
        <v>131580</v>
      </c>
      <c r="M842">
        <v>6579</v>
      </c>
      <c r="N842">
        <v>125001</v>
      </c>
    </row>
    <row r="843" spans="1:14" x14ac:dyDescent="0.25">
      <c r="A843">
        <v>10842</v>
      </c>
      <c r="B843" s="4">
        <v>45768</v>
      </c>
      <c r="C843" t="s">
        <v>17</v>
      </c>
      <c r="D843" t="s">
        <v>27</v>
      </c>
      <c r="E843" t="s">
        <v>25</v>
      </c>
      <c r="F843" t="s">
        <v>24</v>
      </c>
      <c r="G843">
        <v>18</v>
      </c>
      <c r="H843" t="str">
        <f t="shared" si="13"/>
        <v>18-24</v>
      </c>
      <c r="I843">
        <v>4</v>
      </c>
      <c r="J843">
        <v>3166</v>
      </c>
      <c r="K843">
        <v>20</v>
      </c>
      <c r="L843">
        <v>12664</v>
      </c>
      <c r="M843">
        <v>2532.8000000000002</v>
      </c>
      <c r="N843">
        <v>10131.200000000001</v>
      </c>
    </row>
    <row r="844" spans="1:14" x14ac:dyDescent="0.25">
      <c r="A844">
        <v>10843</v>
      </c>
      <c r="B844" s="4">
        <v>45769</v>
      </c>
      <c r="C844" t="s">
        <v>21</v>
      </c>
      <c r="D844" t="s">
        <v>29</v>
      </c>
      <c r="E844" t="s">
        <v>32</v>
      </c>
      <c r="F844" t="s">
        <v>16</v>
      </c>
      <c r="G844">
        <v>30</v>
      </c>
      <c r="H844" t="str">
        <f t="shared" si="13"/>
        <v>25-34</v>
      </c>
      <c r="I844">
        <v>2</v>
      </c>
      <c r="J844">
        <v>18988</v>
      </c>
      <c r="K844">
        <v>15</v>
      </c>
      <c r="L844">
        <v>37976</v>
      </c>
      <c r="M844">
        <v>5696.4</v>
      </c>
      <c r="N844">
        <v>32279.599999999999</v>
      </c>
    </row>
    <row r="845" spans="1:14" x14ac:dyDescent="0.25">
      <c r="A845">
        <v>10844</v>
      </c>
      <c r="B845" s="4">
        <v>45770</v>
      </c>
      <c r="C845" t="s">
        <v>33</v>
      </c>
      <c r="D845" t="s">
        <v>22</v>
      </c>
      <c r="E845" t="s">
        <v>19</v>
      </c>
      <c r="F845" t="s">
        <v>20</v>
      </c>
      <c r="G845">
        <v>26</v>
      </c>
      <c r="H845" t="str">
        <f t="shared" si="13"/>
        <v>25-34</v>
      </c>
      <c r="I845">
        <v>9</v>
      </c>
      <c r="J845">
        <v>49377</v>
      </c>
      <c r="K845">
        <v>5</v>
      </c>
      <c r="L845">
        <v>444393</v>
      </c>
      <c r="M845">
        <v>22219.65</v>
      </c>
      <c r="N845">
        <v>422173.35</v>
      </c>
    </row>
    <row r="846" spans="1:14" x14ac:dyDescent="0.25">
      <c r="A846">
        <v>10845</v>
      </c>
      <c r="B846" s="4">
        <v>45771</v>
      </c>
      <c r="C846" t="s">
        <v>21</v>
      </c>
      <c r="D846" t="s">
        <v>27</v>
      </c>
      <c r="E846" t="s">
        <v>32</v>
      </c>
      <c r="F846" t="s">
        <v>23</v>
      </c>
      <c r="G846">
        <v>57</v>
      </c>
      <c r="H846" t="str">
        <f t="shared" si="13"/>
        <v>55+</v>
      </c>
      <c r="I846">
        <v>1</v>
      </c>
      <c r="J846">
        <v>43974</v>
      </c>
      <c r="K846">
        <v>5</v>
      </c>
      <c r="L846">
        <v>43974</v>
      </c>
      <c r="M846">
        <v>2198.6999999999998</v>
      </c>
      <c r="N846">
        <v>41775.300000000003</v>
      </c>
    </row>
    <row r="847" spans="1:14" x14ac:dyDescent="0.25">
      <c r="A847">
        <v>10846</v>
      </c>
      <c r="B847" s="4">
        <v>45772</v>
      </c>
      <c r="C847" t="s">
        <v>33</v>
      </c>
      <c r="D847" t="s">
        <v>14</v>
      </c>
      <c r="E847" t="s">
        <v>32</v>
      </c>
      <c r="F847" t="s">
        <v>23</v>
      </c>
      <c r="G847">
        <v>38</v>
      </c>
      <c r="H847" t="str">
        <f t="shared" si="13"/>
        <v>35-44</v>
      </c>
      <c r="I847">
        <v>7</v>
      </c>
      <c r="J847">
        <v>17328</v>
      </c>
      <c r="K847">
        <v>20</v>
      </c>
      <c r="L847">
        <v>121296</v>
      </c>
      <c r="M847">
        <v>24259.200000000001</v>
      </c>
      <c r="N847">
        <v>97036.800000000003</v>
      </c>
    </row>
    <row r="848" spans="1:14" x14ac:dyDescent="0.25">
      <c r="A848">
        <v>10847</v>
      </c>
      <c r="B848" s="4">
        <v>45773</v>
      </c>
      <c r="C848" t="s">
        <v>21</v>
      </c>
      <c r="D848" t="s">
        <v>27</v>
      </c>
      <c r="E848" t="s">
        <v>19</v>
      </c>
      <c r="F848" t="s">
        <v>31</v>
      </c>
      <c r="G848">
        <v>56</v>
      </c>
      <c r="H848" t="str">
        <f t="shared" si="13"/>
        <v>55+</v>
      </c>
      <c r="I848">
        <v>3</v>
      </c>
      <c r="J848">
        <v>42195</v>
      </c>
      <c r="K848">
        <v>10</v>
      </c>
      <c r="L848">
        <v>126585</v>
      </c>
      <c r="M848">
        <v>12658.5</v>
      </c>
      <c r="N848">
        <v>113926.5</v>
      </c>
    </row>
    <row r="849" spans="1:14" x14ac:dyDescent="0.25">
      <c r="A849">
        <v>10848</v>
      </c>
      <c r="B849" s="4">
        <v>45774</v>
      </c>
      <c r="C849" t="s">
        <v>13</v>
      </c>
      <c r="D849" t="s">
        <v>27</v>
      </c>
      <c r="E849" t="s">
        <v>15</v>
      </c>
      <c r="F849" t="s">
        <v>24</v>
      </c>
      <c r="G849">
        <v>51</v>
      </c>
      <c r="H849" t="str">
        <f t="shared" si="13"/>
        <v>45-54</v>
      </c>
      <c r="I849">
        <v>8</v>
      </c>
      <c r="J849">
        <v>29411</v>
      </c>
      <c r="K849">
        <v>15</v>
      </c>
      <c r="L849">
        <v>235288</v>
      </c>
      <c r="M849">
        <v>35293.199999999997</v>
      </c>
      <c r="N849">
        <v>199994.8</v>
      </c>
    </row>
    <row r="850" spans="1:14" x14ac:dyDescent="0.25">
      <c r="A850">
        <v>10849</v>
      </c>
      <c r="B850" s="4">
        <v>45775</v>
      </c>
      <c r="C850" t="s">
        <v>21</v>
      </c>
      <c r="D850" t="s">
        <v>14</v>
      </c>
      <c r="E850" t="s">
        <v>19</v>
      </c>
      <c r="F850" t="s">
        <v>28</v>
      </c>
      <c r="G850">
        <v>36</v>
      </c>
      <c r="H850" t="str">
        <f t="shared" si="13"/>
        <v>35-44</v>
      </c>
      <c r="I850">
        <v>3</v>
      </c>
      <c r="J850">
        <v>36314</v>
      </c>
      <c r="K850">
        <v>10</v>
      </c>
      <c r="L850">
        <v>108942</v>
      </c>
      <c r="M850">
        <v>10894.2</v>
      </c>
      <c r="N850">
        <v>98047.8</v>
      </c>
    </row>
    <row r="851" spans="1:14" x14ac:dyDescent="0.25">
      <c r="A851">
        <v>10850</v>
      </c>
      <c r="B851" s="4">
        <v>45776</v>
      </c>
      <c r="C851" t="s">
        <v>21</v>
      </c>
      <c r="D851" t="s">
        <v>27</v>
      </c>
      <c r="E851" t="s">
        <v>15</v>
      </c>
      <c r="F851" t="s">
        <v>23</v>
      </c>
      <c r="G851">
        <v>21</v>
      </c>
      <c r="H851" t="str">
        <f t="shared" si="13"/>
        <v>18-24</v>
      </c>
      <c r="I851">
        <v>7</v>
      </c>
      <c r="J851">
        <v>18776</v>
      </c>
      <c r="K851">
        <v>10</v>
      </c>
      <c r="L851">
        <v>131432</v>
      </c>
      <c r="M851">
        <v>13143.2</v>
      </c>
      <c r="N851">
        <v>118288.8</v>
      </c>
    </row>
    <row r="852" spans="1:14" x14ac:dyDescent="0.25">
      <c r="A852">
        <v>10851</v>
      </c>
      <c r="B852" s="4">
        <v>45777</v>
      </c>
      <c r="C852" t="s">
        <v>13</v>
      </c>
      <c r="D852" t="s">
        <v>14</v>
      </c>
      <c r="E852" t="s">
        <v>25</v>
      </c>
      <c r="F852" t="s">
        <v>20</v>
      </c>
      <c r="G852">
        <v>64</v>
      </c>
      <c r="H852" t="str">
        <f t="shared" si="13"/>
        <v>55+</v>
      </c>
      <c r="I852">
        <v>7</v>
      </c>
      <c r="J852">
        <v>24158</v>
      </c>
      <c r="K852">
        <v>5</v>
      </c>
      <c r="L852">
        <v>169106</v>
      </c>
      <c r="M852">
        <v>8455.2999999999993</v>
      </c>
      <c r="N852">
        <v>160650.70000000001</v>
      </c>
    </row>
    <row r="853" spans="1:14" x14ac:dyDescent="0.25">
      <c r="A853">
        <v>10852</v>
      </c>
      <c r="B853" s="4">
        <v>45778</v>
      </c>
      <c r="C853" t="s">
        <v>33</v>
      </c>
      <c r="D853" t="s">
        <v>14</v>
      </c>
      <c r="E853" t="s">
        <v>25</v>
      </c>
      <c r="F853" t="s">
        <v>23</v>
      </c>
      <c r="G853">
        <v>58</v>
      </c>
      <c r="H853" t="str">
        <f t="shared" si="13"/>
        <v>55+</v>
      </c>
      <c r="I853">
        <v>4</v>
      </c>
      <c r="J853">
        <v>8370</v>
      </c>
      <c r="K853">
        <v>10</v>
      </c>
      <c r="L853">
        <v>33480</v>
      </c>
      <c r="M853">
        <v>3348</v>
      </c>
      <c r="N853">
        <v>30132</v>
      </c>
    </row>
    <row r="854" spans="1:14" x14ac:dyDescent="0.25">
      <c r="A854">
        <v>10853</v>
      </c>
      <c r="B854" s="4">
        <v>45779</v>
      </c>
      <c r="C854" t="s">
        <v>33</v>
      </c>
      <c r="D854" t="s">
        <v>18</v>
      </c>
      <c r="E854" t="s">
        <v>19</v>
      </c>
      <c r="F854" t="s">
        <v>24</v>
      </c>
      <c r="G854">
        <v>49</v>
      </c>
      <c r="H854" t="str">
        <f t="shared" si="13"/>
        <v>45-54</v>
      </c>
      <c r="I854">
        <v>8</v>
      </c>
      <c r="J854">
        <v>6601</v>
      </c>
      <c r="K854">
        <v>20</v>
      </c>
      <c r="L854">
        <v>52808</v>
      </c>
      <c r="M854">
        <v>10561.6</v>
      </c>
      <c r="N854">
        <v>42246.400000000001</v>
      </c>
    </row>
    <row r="855" spans="1:14" x14ac:dyDescent="0.25">
      <c r="A855">
        <v>10854</v>
      </c>
      <c r="B855" s="4">
        <v>45780</v>
      </c>
      <c r="C855" t="s">
        <v>33</v>
      </c>
      <c r="D855" t="s">
        <v>14</v>
      </c>
      <c r="E855" t="s">
        <v>32</v>
      </c>
      <c r="F855" t="s">
        <v>28</v>
      </c>
      <c r="G855">
        <v>49</v>
      </c>
      <c r="H855" t="str">
        <f t="shared" si="13"/>
        <v>45-54</v>
      </c>
      <c r="I855">
        <v>7</v>
      </c>
      <c r="J855">
        <v>20240</v>
      </c>
      <c r="K855">
        <v>10</v>
      </c>
      <c r="L855">
        <v>141680</v>
      </c>
      <c r="M855">
        <v>14168</v>
      </c>
      <c r="N855">
        <v>127512</v>
      </c>
    </row>
    <row r="856" spans="1:14" x14ac:dyDescent="0.25">
      <c r="A856">
        <v>10855</v>
      </c>
      <c r="B856" s="4">
        <v>45781</v>
      </c>
      <c r="C856" t="s">
        <v>13</v>
      </c>
      <c r="D856" t="s">
        <v>27</v>
      </c>
      <c r="E856" t="s">
        <v>32</v>
      </c>
      <c r="F856" t="s">
        <v>16</v>
      </c>
      <c r="G856">
        <v>60</v>
      </c>
      <c r="H856" t="str">
        <f t="shared" si="13"/>
        <v>55+</v>
      </c>
      <c r="I856">
        <v>4</v>
      </c>
      <c r="J856">
        <v>10820</v>
      </c>
      <c r="K856">
        <v>0</v>
      </c>
      <c r="L856">
        <v>43280</v>
      </c>
      <c r="M856">
        <v>0</v>
      </c>
      <c r="N856">
        <v>43280</v>
      </c>
    </row>
    <row r="857" spans="1:14" x14ac:dyDescent="0.25">
      <c r="A857">
        <v>10856</v>
      </c>
      <c r="B857" s="4">
        <v>45782</v>
      </c>
      <c r="C857" t="s">
        <v>21</v>
      </c>
      <c r="D857" t="s">
        <v>27</v>
      </c>
      <c r="E857" t="s">
        <v>32</v>
      </c>
      <c r="F857" t="s">
        <v>30</v>
      </c>
      <c r="G857">
        <v>41</v>
      </c>
      <c r="H857" t="str">
        <f t="shared" si="13"/>
        <v>35-44</v>
      </c>
      <c r="I857">
        <v>7</v>
      </c>
      <c r="J857">
        <v>34671</v>
      </c>
      <c r="K857">
        <v>0</v>
      </c>
      <c r="L857">
        <v>242697</v>
      </c>
      <c r="M857">
        <v>0</v>
      </c>
      <c r="N857">
        <v>242697</v>
      </c>
    </row>
    <row r="858" spans="1:14" x14ac:dyDescent="0.25">
      <c r="A858">
        <v>10857</v>
      </c>
      <c r="B858" s="4">
        <v>45783</v>
      </c>
      <c r="C858" t="s">
        <v>17</v>
      </c>
      <c r="D858" t="s">
        <v>27</v>
      </c>
      <c r="E858" t="s">
        <v>32</v>
      </c>
      <c r="F858" t="s">
        <v>20</v>
      </c>
      <c r="G858">
        <v>34</v>
      </c>
      <c r="H858" t="str">
        <f t="shared" si="13"/>
        <v>25-34</v>
      </c>
      <c r="I858">
        <v>8</v>
      </c>
      <c r="J858">
        <v>30647</v>
      </c>
      <c r="K858">
        <v>5</v>
      </c>
      <c r="L858">
        <v>245176</v>
      </c>
      <c r="M858">
        <v>12258.8</v>
      </c>
      <c r="N858">
        <v>232917.2</v>
      </c>
    </row>
    <row r="859" spans="1:14" x14ac:dyDescent="0.25">
      <c r="A859">
        <v>10858</v>
      </c>
      <c r="B859" s="4">
        <v>45784</v>
      </c>
      <c r="C859" t="s">
        <v>21</v>
      </c>
      <c r="D859" t="s">
        <v>14</v>
      </c>
      <c r="E859" t="s">
        <v>32</v>
      </c>
      <c r="F859" t="s">
        <v>20</v>
      </c>
      <c r="G859">
        <v>42</v>
      </c>
      <c r="H859" t="str">
        <f t="shared" si="13"/>
        <v>35-44</v>
      </c>
      <c r="I859">
        <v>8</v>
      </c>
      <c r="J859">
        <v>10433</v>
      </c>
      <c r="K859">
        <v>5</v>
      </c>
      <c r="L859">
        <v>83464</v>
      </c>
      <c r="M859">
        <v>4173.2</v>
      </c>
      <c r="N859">
        <v>79290.8</v>
      </c>
    </row>
    <row r="860" spans="1:14" x14ac:dyDescent="0.25">
      <c r="A860">
        <v>10859</v>
      </c>
      <c r="B860" s="4">
        <v>45785</v>
      </c>
      <c r="C860" t="s">
        <v>33</v>
      </c>
      <c r="D860" t="s">
        <v>22</v>
      </c>
      <c r="E860" t="s">
        <v>25</v>
      </c>
      <c r="F860" t="s">
        <v>26</v>
      </c>
      <c r="G860">
        <v>49</v>
      </c>
      <c r="H860" t="str">
        <f t="shared" si="13"/>
        <v>45-54</v>
      </c>
      <c r="I860">
        <v>5</v>
      </c>
      <c r="J860">
        <v>9986</v>
      </c>
      <c r="K860">
        <v>5</v>
      </c>
      <c r="L860">
        <v>49930</v>
      </c>
      <c r="M860">
        <v>2496.5</v>
      </c>
      <c r="N860">
        <v>47433.5</v>
      </c>
    </row>
    <row r="861" spans="1:14" x14ac:dyDescent="0.25">
      <c r="A861">
        <v>10860</v>
      </c>
      <c r="B861" s="4">
        <v>45786</v>
      </c>
      <c r="C861" t="s">
        <v>33</v>
      </c>
      <c r="D861" t="s">
        <v>18</v>
      </c>
      <c r="E861" t="s">
        <v>32</v>
      </c>
      <c r="F861" t="s">
        <v>20</v>
      </c>
      <c r="G861">
        <v>51</v>
      </c>
      <c r="H861" t="str">
        <f t="shared" si="13"/>
        <v>45-54</v>
      </c>
      <c r="I861">
        <v>2</v>
      </c>
      <c r="J861">
        <v>29314</v>
      </c>
      <c r="K861">
        <v>5</v>
      </c>
      <c r="L861">
        <v>58628</v>
      </c>
      <c r="M861">
        <v>2931.4</v>
      </c>
      <c r="N861">
        <v>55696.6</v>
      </c>
    </row>
    <row r="862" spans="1:14" x14ac:dyDescent="0.25">
      <c r="A862">
        <v>10861</v>
      </c>
      <c r="B862" s="4">
        <v>45787</v>
      </c>
      <c r="C862" t="s">
        <v>13</v>
      </c>
      <c r="D862" t="s">
        <v>22</v>
      </c>
      <c r="E862" t="s">
        <v>15</v>
      </c>
      <c r="F862" t="s">
        <v>16</v>
      </c>
      <c r="G862">
        <v>29</v>
      </c>
      <c r="H862" t="str">
        <f t="shared" si="13"/>
        <v>25-34</v>
      </c>
      <c r="I862">
        <v>1</v>
      </c>
      <c r="J862">
        <v>10402</v>
      </c>
      <c r="K862">
        <v>0</v>
      </c>
      <c r="L862">
        <v>10402</v>
      </c>
      <c r="M862">
        <v>0</v>
      </c>
      <c r="N862">
        <v>10402</v>
      </c>
    </row>
    <row r="863" spans="1:14" x14ac:dyDescent="0.25">
      <c r="A863">
        <v>10862</v>
      </c>
      <c r="B863" s="4">
        <v>45788</v>
      </c>
      <c r="C863" t="s">
        <v>17</v>
      </c>
      <c r="D863" t="s">
        <v>27</v>
      </c>
      <c r="E863" t="s">
        <v>32</v>
      </c>
      <c r="F863" t="s">
        <v>23</v>
      </c>
      <c r="G863">
        <v>37</v>
      </c>
      <c r="H863" t="str">
        <f t="shared" si="13"/>
        <v>35-44</v>
      </c>
      <c r="I863">
        <v>8</v>
      </c>
      <c r="J863">
        <v>36217</v>
      </c>
      <c r="K863">
        <v>10</v>
      </c>
      <c r="L863">
        <v>289736</v>
      </c>
      <c r="M863">
        <v>28973.599999999999</v>
      </c>
      <c r="N863">
        <v>260762.4</v>
      </c>
    </row>
    <row r="864" spans="1:14" x14ac:dyDescent="0.25">
      <c r="A864">
        <v>10863</v>
      </c>
      <c r="B864" s="4">
        <v>45789</v>
      </c>
      <c r="C864" t="s">
        <v>17</v>
      </c>
      <c r="D864" t="s">
        <v>22</v>
      </c>
      <c r="E864" t="s">
        <v>19</v>
      </c>
      <c r="F864" t="s">
        <v>20</v>
      </c>
      <c r="G864">
        <v>61</v>
      </c>
      <c r="H864" t="str">
        <f t="shared" si="13"/>
        <v>55+</v>
      </c>
      <c r="I864">
        <v>1</v>
      </c>
      <c r="J864">
        <v>18915</v>
      </c>
      <c r="K864">
        <v>0</v>
      </c>
      <c r="L864">
        <v>18915</v>
      </c>
      <c r="M864">
        <v>0</v>
      </c>
      <c r="N864">
        <v>18915</v>
      </c>
    </row>
    <row r="865" spans="1:14" x14ac:dyDescent="0.25">
      <c r="A865">
        <v>10864</v>
      </c>
      <c r="B865" s="4">
        <v>45790</v>
      </c>
      <c r="C865" t="s">
        <v>13</v>
      </c>
      <c r="D865" t="s">
        <v>14</v>
      </c>
      <c r="E865" t="s">
        <v>15</v>
      </c>
      <c r="F865" t="s">
        <v>24</v>
      </c>
      <c r="G865">
        <v>24</v>
      </c>
      <c r="H865" t="str">
        <f t="shared" si="13"/>
        <v>18-24</v>
      </c>
      <c r="I865">
        <v>8</v>
      </c>
      <c r="J865">
        <v>22482</v>
      </c>
      <c r="K865">
        <v>0</v>
      </c>
      <c r="L865">
        <v>179856</v>
      </c>
      <c r="M865">
        <v>0</v>
      </c>
      <c r="N865">
        <v>179856</v>
      </c>
    </row>
    <row r="866" spans="1:14" x14ac:dyDescent="0.25">
      <c r="A866">
        <v>10865</v>
      </c>
      <c r="B866" s="4">
        <v>45791</v>
      </c>
      <c r="C866" t="s">
        <v>21</v>
      </c>
      <c r="D866" t="s">
        <v>22</v>
      </c>
      <c r="E866" t="s">
        <v>19</v>
      </c>
      <c r="F866" t="s">
        <v>26</v>
      </c>
      <c r="G866">
        <v>36</v>
      </c>
      <c r="H866" t="str">
        <f t="shared" si="13"/>
        <v>35-44</v>
      </c>
      <c r="I866">
        <v>2</v>
      </c>
      <c r="J866">
        <v>11386</v>
      </c>
      <c r="K866">
        <v>15</v>
      </c>
      <c r="L866">
        <v>22772</v>
      </c>
      <c r="M866">
        <v>3415.8</v>
      </c>
      <c r="N866">
        <v>19356.2</v>
      </c>
    </row>
    <row r="867" spans="1:14" x14ac:dyDescent="0.25">
      <c r="A867">
        <v>10866</v>
      </c>
      <c r="B867" s="4">
        <v>45792</v>
      </c>
      <c r="C867" t="s">
        <v>21</v>
      </c>
      <c r="D867" t="s">
        <v>14</v>
      </c>
      <c r="E867" t="s">
        <v>25</v>
      </c>
      <c r="F867" t="s">
        <v>28</v>
      </c>
      <c r="G867">
        <v>63</v>
      </c>
      <c r="H867" t="str">
        <f t="shared" si="13"/>
        <v>55+</v>
      </c>
      <c r="I867">
        <v>1</v>
      </c>
      <c r="J867">
        <v>48967</v>
      </c>
      <c r="K867">
        <v>10</v>
      </c>
      <c r="L867">
        <v>48967</v>
      </c>
      <c r="M867">
        <v>4896.7</v>
      </c>
      <c r="N867">
        <v>44070.3</v>
      </c>
    </row>
    <row r="868" spans="1:14" x14ac:dyDescent="0.25">
      <c r="A868">
        <v>10867</v>
      </c>
      <c r="B868" s="4">
        <v>45793</v>
      </c>
      <c r="C868" t="s">
        <v>21</v>
      </c>
      <c r="D868" t="s">
        <v>22</v>
      </c>
      <c r="E868" t="s">
        <v>15</v>
      </c>
      <c r="F868" t="s">
        <v>23</v>
      </c>
      <c r="G868">
        <v>18</v>
      </c>
      <c r="H868" t="str">
        <f t="shared" si="13"/>
        <v>18-24</v>
      </c>
      <c r="I868">
        <v>5</v>
      </c>
      <c r="J868">
        <v>42766</v>
      </c>
      <c r="K868">
        <v>0</v>
      </c>
      <c r="L868">
        <v>213830</v>
      </c>
      <c r="M868">
        <v>0</v>
      </c>
      <c r="N868">
        <v>213830</v>
      </c>
    </row>
    <row r="869" spans="1:14" x14ac:dyDescent="0.25">
      <c r="A869">
        <v>10868</v>
      </c>
      <c r="B869" s="4">
        <v>45794</v>
      </c>
      <c r="C869" t="s">
        <v>13</v>
      </c>
      <c r="D869" t="s">
        <v>29</v>
      </c>
      <c r="E869" t="s">
        <v>15</v>
      </c>
      <c r="F869" t="s">
        <v>16</v>
      </c>
      <c r="G869">
        <v>39</v>
      </c>
      <c r="H869" t="str">
        <f t="shared" si="13"/>
        <v>35-44</v>
      </c>
      <c r="I869">
        <v>7</v>
      </c>
      <c r="J869">
        <v>42463</v>
      </c>
      <c r="K869">
        <v>15</v>
      </c>
      <c r="L869">
        <v>297241</v>
      </c>
      <c r="M869">
        <v>44586.15</v>
      </c>
      <c r="N869">
        <v>252654.85</v>
      </c>
    </row>
    <row r="870" spans="1:14" x14ac:dyDescent="0.25">
      <c r="A870">
        <v>10869</v>
      </c>
      <c r="B870" s="4">
        <v>45795</v>
      </c>
      <c r="C870" t="s">
        <v>21</v>
      </c>
      <c r="D870" t="s">
        <v>27</v>
      </c>
      <c r="E870" t="s">
        <v>32</v>
      </c>
      <c r="F870" t="s">
        <v>16</v>
      </c>
      <c r="G870">
        <v>61</v>
      </c>
      <c r="H870" t="str">
        <f t="shared" si="13"/>
        <v>55+</v>
      </c>
      <c r="I870">
        <v>6</v>
      </c>
      <c r="J870">
        <v>40411</v>
      </c>
      <c r="K870">
        <v>15</v>
      </c>
      <c r="L870">
        <v>242466</v>
      </c>
      <c r="M870">
        <v>36369.9</v>
      </c>
      <c r="N870">
        <v>206096.1</v>
      </c>
    </row>
    <row r="871" spans="1:14" x14ac:dyDescent="0.25">
      <c r="A871">
        <v>10870</v>
      </c>
      <c r="B871" s="4">
        <v>45796</v>
      </c>
      <c r="C871" t="s">
        <v>13</v>
      </c>
      <c r="D871" t="s">
        <v>18</v>
      </c>
      <c r="E871" t="s">
        <v>15</v>
      </c>
      <c r="F871" t="s">
        <v>23</v>
      </c>
      <c r="G871">
        <v>60</v>
      </c>
      <c r="H871" t="str">
        <f t="shared" si="13"/>
        <v>55+</v>
      </c>
      <c r="I871">
        <v>6</v>
      </c>
      <c r="J871">
        <v>1564</v>
      </c>
      <c r="K871">
        <v>20</v>
      </c>
      <c r="L871">
        <v>9384</v>
      </c>
      <c r="M871">
        <v>1876.8</v>
      </c>
      <c r="N871">
        <v>7507.2</v>
      </c>
    </row>
    <row r="872" spans="1:14" x14ac:dyDescent="0.25">
      <c r="A872">
        <v>10871</v>
      </c>
      <c r="B872" s="4">
        <v>45797</v>
      </c>
      <c r="C872" t="s">
        <v>21</v>
      </c>
      <c r="D872" t="s">
        <v>29</v>
      </c>
      <c r="E872" t="s">
        <v>25</v>
      </c>
      <c r="F872" t="s">
        <v>20</v>
      </c>
      <c r="G872">
        <v>63</v>
      </c>
      <c r="H872" t="str">
        <f t="shared" si="13"/>
        <v>55+</v>
      </c>
      <c r="I872">
        <v>6</v>
      </c>
      <c r="J872">
        <v>11331</v>
      </c>
      <c r="K872">
        <v>5</v>
      </c>
      <c r="L872">
        <v>67986</v>
      </c>
      <c r="M872">
        <v>3399.3</v>
      </c>
      <c r="N872">
        <v>64586.7</v>
      </c>
    </row>
    <row r="873" spans="1:14" x14ac:dyDescent="0.25">
      <c r="A873">
        <v>10872</v>
      </c>
      <c r="B873" s="4">
        <v>45798</v>
      </c>
      <c r="C873" t="s">
        <v>17</v>
      </c>
      <c r="D873" t="s">
        <v>18</v>
      </c>
      <c r="E873" t="s">
        <v>32</v>
      </c>
      <c r="F873" t="s">
        <v>16</v>
      </c>
      <c r="G873">
        <v>31</v>
      </c>
      <c r="H873" t="str">
        <f t="shared" si="13"/>
        <v>25-34</v>
      </c>
      <c r="I873">
        <v>4</v>
      </c>
      <c r="J873">
        <v>38080</v>
      </c>
      <c r="K873">
        <v>15</v>
      </c>
      <c r="L873">
        <v>152320</v>
      </c>
      <c r="M873">
        <v>22848</v>
      </c>
      <c r="N873">
        <v>129472</v>
      </c>
    </row>
    <row r="874" spans="1:14" x14ac:dyDescent="0.25">
      <c r="A874">
        <v>10873</v>
      </c>
      <c r="B874" s="4">
        <v>45799</v>
      </c>
      <c r="C874" t="s">
        <v>17</v>
      </c>
      <c r="D874" t="s">
        <v>27</v>
      </c>
      <c r="E874" t="s">
        <v>19</v>
      </c>
      <c r="F874" t="s">
        <v>20</v>
      </c>
      <c r="G874">
        <v>25</v>
      </c>
      <c r="H874" t="str">
        <f t="shared" si="13"/>
        <v>25-34</v>
      </c>
      <c r="I874">
        <v>5</v>
      </c>
      <c r="J874">
        <v>49167</v>
      </c>
      <c r="K874">
        <v>5</v>
      </c>
      <c r="L874">
        <v>245835</v>
      </c>
      <c r="M874">
        <v>12291.75</v>
      </c>
      <c r="N874">
        <v>233543.25</v>
      </c>
    </row>
    <row r="875" spans="1:14" x14ac:dyDescent="0.25">
      <c r="A875">
        <v>10874</v>
      </c>
      <c r="B875" s="4">
        <v>45800</v>
      </c>
      <c r="C875" t="s">
        <v>33</v>
      </c>
      <c r="D875" t="s">
        <v>22</v>
      </c>
      <c r="E875" t="s">
        <v>32</v>
      </c>
      <c r="F875" t="s">
        <v>28</v>
      </c>
      <c r="G875">
        <v>18</v>
      </c>
      <c r="H875" t="str">
        <f t="shared" si="13"/>
        <v>18-24</v>
      </c>
      <c r="I875">
        <v>4</v>
      </c>
      <c r="J875">
        <v>3513</v>
      </c>
      <c r="K875">
        <v>15</v>
      </c>
      <c r="L875">
        <v>14052</v>
      </c>
      <c r="M875">
        <v>2107.8000000000002</v>
      </c>
      <c r="N875">
        <v>11944.2</v>
      </c>
    </row>
    <row r="876" spans="1:14" x14ac:dyDescent="0.25">
      <c r="A876">
        <v>10875</v>
      </c>
      <c r="B876" s="4">
        <v>45801</v>
      </c>
      <c r="C876" t="s">
        <v>13</v>
      </c>
      <c r="D876" t="s">
        <v>29</v>
      </c>
      <c r="E876" t="s">
        <v>15</v>
      </c>
      <c r="F876" t="s">
        <v>24</v>
      </c>
      <c r="G876">
        <v>23</v>
      </c>
      <c r="H876" t="str">
        <f t="shared" si="13"/>
        <v>18-24</v>
      </c>
      <c r="I876">
        <v>8</v>
      </c>
      <c r="J876">
        <v>17475</v>
      </c>
      <c r="K876">
        <v>10</v>
      </c>
      <c r="L876">
        <v>139800</v>
      </c>
      <c r="M876">
        <v>13980</v>
      </c>
      <c r="N876">
        <v>125820</v>
      </c>
    </row>
    <row r="877" spans="1:14" x14ac:dyDescent="0.25">
      <c r="A877">
        <v>10876</v>
      </c>
      <c r="B877" s="4">
        <v>45802</v>
      </c>
      <c r="C877" t="s">
        <v>33</v>
      </c>
      <c r="D877" t="s">
        <v>27</v>
      </c>
      <c r="E877" t="s">
        <v>15</v>
      </c>
      <c r="F877" t="s">
        <v>30</v>
      </c>
      <c r="G877">
        <v>64</v>
      </c>
      <c r="H877" t="str">
        <f t="shared" si="13"/>
        <v>55+</v>
      </c>
      <c r="I877">
        <v>5</v>
      </c>
      <c r="J877">
        <v>15276</v>
      </c>
      <c r="K877">
        <v>15</v>
      </c>
      <c r="L877">
        <v>76380</v>
      </c>
      <c r="M877">
        <v>11457</v>
      </c>
      <c r="N877">
        <v>64923</v>
      </c>
    </row>
    <row r="878" spans="1:14" x14ac:dyDescent="0.25">
      <c r="A878">
        <v>10877</v>
      </c>
      <c r="B878" s="4">
        <v>45803</v>
      </c>
      <c r="C878" t="s">
        <v>17</v>
      </c>
      <c r="D878" t="s">
        <v>14</v>
      </c>
      <c r="E878" t="s">
        <v>25</v>
      </c>
      <c r="F878" t="s">
        <v>16</v>
      </c>
      <c r="G878">
        <v>31</v>
      </c>
      <c r="H878" t="str">
        <f t="shared" si="13"/>
        <v>25-34</v>
      </c>
      <c r="I878">
        <v>7</v>
      </c>
      <c r="J878">
        <v>27365</v>
      </c>
      <c r="K878">
        <v>5</v>
      </c>
      <c r="L878">
        <v>191555</v>
      </c>
      <c r="M878">
        <v>9577.75</v>
      </c>
      <c r="N878">
        <v>181977.25</v>
      </c>
    </row>
    <row r="879" spans="1:14" x14ac:dyDescent="0.25">
      <c r="A879">
        <v>10878</v>
      </c>
      <c r="B879" s="4">
        <v>45804</v>
      </c>
      <c r="C879" t="s">
        <v>33</v>
      </c>
      <c r="D879" t="s">
        <v>27</v>
      </c>
      <c r="E879" t="s">
        <v>25</v>
      </c>
      <c r="F879" t="s">
        <v>28</v>
      </c>
      <c r="G879">
        <v>26</v>
      </c>
      <c r="H879" t="str">
        <f t="shared" si="13"/>
        <v>25-34</v>
      </c>
      <c r="I879">
        <v>5</v>
      </c>
      <c r="J879">
        <v>45428</v>
      </c>
      <c r="K879">
        <v>15</v>
      </c>
      <c r="L879">
        <v>227140</v>
      </c>
      <c r="M879">
        <v>34071</v>
      </c>
      <c r="N879">
        <v>193069</v>
      </c>
    </row>
    <row r="880" spans="1:14" x14ac:dyDescent="0.25">
      <c r="A880">
        <v>10879</v>
      </c>
      <c r="B880" s="4">
        <v>45805</v>
      </c>
      <c r="C880" t="s">
        <v>21</v>
      </c>
      <c r="D880" t="s">
        <v>29</v>
      </c>
      <c r="E880" t="s">
        <v>25</v>
      </c>
      <c r="F880" t="s">
        <v>30</v>
      </c>
      <c r="G880">
        <v>56</v>
      </c>
      <c r="H880" t="str">
        <f t="shared" si="13"/>
        <v>55+</v>
      </c>
      <c r="I880">
        <v>5</v>
      </c>
      <c r="J880">
        <v>6142</v>
      </c>
      <c r="K880">
        <v>5</v>
      </c>
      <c r="L880">
        <v>30710</v>
      </c>
      <c r="M880">
        <v>1535.5</v>
      </c>
      <c r="N880">
        <v>29174.5</v>
      </c>
    </row>
    <row r="881" spans="1:14" x14ac:dyDescent="0.25">
      <c r="A881">
        <v>10880</v>
      </c>
      <c r="B881" s="4">
        <v>45806</v>
      </c>
      <c r="C881" t="s">
        <v>13</v>
      </c>
      <c r="D881" t="s">
        <v>18</v>
      </c>
      <c r="E881" t="s">
        <v>25</v>
      </c>
      <c r="F881" t="s">
        <v>20</v>
      </c>
      <c r="G881">
        <v>20</v>
      </c>
      <c r="H881" t="str">
        <f t="shared" si="13"/>
        <v>18-24</v>
      </c>
      <c r="I881">
        <v>3</v>
      </c>
      <c r="J881">
        <v>39781</v>
      </c>
      <c r="K881">
        <v>10</v>
      </c>
      <c r="L881">
        <v>119343</v>
      </c>
      <c r="M881">
        <v>11934.3</v>
      </c>
      <c r="N881">
        <v>107408.7</v>
      </c>
    </row>
    <row r="882" spans="1:14" x14ac:dyDescent="0.25">
      <c r="A882">
        <v>10881</v>
      </c>
      <c r="B882" s="4">
        <v>45807</v>
      </c>
      <c r="C882" t="s">
        <v>13</v>
      </c>
      <c r="D882" t="s">
        <v>27</v>
      </c>
      <c r="E882" t="s">
        <v>25</v>
      </c>
      <c r="F882" t="s">
        <v>26</v>
      </c>
      <c r="G882">
        <v>51</v>
      </c>
      <c r="H882" t="str">
        <f t="shared" si="13"/>
        <v>45-54</v>
      </c>
      <c r="I882">
        <v>1</v>
      </c>
      <c r="J882">
        <v>26565</v>
      </c>
      <c r="K882">
        <v>20</v>
      </c>
      <c r="L882">
        <v>26565</v>
      </c>
      <c r="M882">
        <v>5313</v>
      </c>
      <c r="N882">
        <v>21252</v>
      </c>
    </row>
    <row r="883" spans="1:14" x14ac:dyDescent="0.25">
      <c r="A883">
        <v>10882</v>
      </c>
      <c r="B883" s="4">
        <v>45808</v>
      </c>
      <c r="C883" t="s">
        <v>33</v>
      </c>
      <c r="D883" t="s">
        <v>22</v>
      </c>
      <c r="E883" t="s">
        <v>19</v>
      </c>
      <c r="F883" t="s">
        <v>30</v>
      </c>
      <c r="G883">
        <v>64</v>
      </c>
      <c r="H883" t="str">
        <f t="shared" si="13"/>
        <v>55+</v>
      </c>
      <c r="I883">
        <v>3</v>
      </c>
      <c r="J883">
        <v>7704</v>
      </c>
      <c r="K883">
        <v>0</v>
      </c>
      <c r="L883">
        <v>23112</v>
      </c>
      <c r="M883">
        <v>0</v>
      </c>
      <c r="N883">
        <v>23112</v>
      </c>
    </row>
    <row r="884" spans="1:14" x14ac:dyDescent="0.25">
      <c r="A884">
        <v>10883</v>
      </c>
      <c r="B884" s="4">
        <v>45809</v>
      </c>
      <c r="C884" t="s">
        <v>17</v>
      </c>
      <c r="D884" t="s">
        <v>27</v>
      </c>
      <c r="E884" t="s">
        <v>19</v>
      </c>
      <c r="F884" t="s">
        <v>28</v>
      </c>
      <c r="G884">
        <v>20</v>
      </c>
      <c r="H884" t="str">
        <f t="shared" si="13"/>
        <v>18-24</v>
      </c>
      <c r="I884">
        <v>7</v>
      </c>
      <c r="J884">
        <v>15263</v>
      </c>
      <c r="K884">
        <v>0</v>
      </c>
      <c r="L884">
        <v>106841</v>
      </c>
      <c r="M884">
        <v>0</v>
      </c>
      <c r="N884">
        <v>106841</v>
      </c>
    </row>
    <row r="885" spans="1:14" x14ac:dyDescent="0.25">
      <c r="A885">
        <v>10884</v>
      </c>
      <c r="B885" s="4">
        <v>45810</v>
      </c>
      <c r="C885" t="s">
        <v>33</v>
      </c>
      <c r="D885" t="s">
        <v>27</v>
      </c>
      <c r="E885" t="s">
        <v>32</v>
      </c>
      <c r="F885" t="s">
        <v>30</v>
      </c>
      <c r="G885">
        <v>23</v>
      </c>
      <c r="H885" t="str">
        <f t="shared" si="13"/>
        <v>18-24</v>
      </c>
      <c r="I885">
        <v>8</v>
      </c>
      <c r="J885">
        <v>25625</v>
      </c>
      <c r="K885">
        <v>15</v>
      </c>
      <c r="L885">
        <v>205000</v>
      </c>
      <c r="M885">
        <v>30750</v>
      </c>
      <c r="N885">
        <v>174250</v>
      </c>
    </row>
    <row r="886" spans="1:14" x14ac:dyDescent="0.25">
      <c r="A886">
        <v>10885</v>
      </c>
      <c r="B886" s="4">
        <v>45811</v>
      </c>
      <c r="C886" t="s">
        <v>21</v>
      </c>
      <c r="D886" t="s">
        <v>29</v>
      </c>
      <c r="E886" t="s">
        <v>15</v>
      </c>
      <c r="F886" t="s">
        <v>28</v>
      </c>
      <c r="G886">
        <v>58</v>
      </c>
      <c r="H886" t="str">
        <f t="shared" si="13"/>
        <v>55+</v>
      </c>
      <c r="I886">
        <v>8</v>
      </c>
      <c r="J886">
        <v>34611</v>
      </c>
      <c r="K886">
        <v>10</v>
      </c>
      <c r="L886">
        <v>276888</v>
      </c>
      <c r="M886">
        <v>27688.799999999999</v>
      </c>
      <c r="N886">
        <v>249199.2</v>
      </c>
    </row>
    <row r="887" spans="1:14" x14ac:dyDescent="0.25">
      <c r="A887">
        <v>10886</v>
      </c>
      <c r="B887" s="4">
        <v>45812</v>
      </c>
      <c r="C887" t="s">
        <v>13</v>
      </c>
      <c r="D887" t="s">
        <v>29</v>
      </c>
      <c r="E887" t="s">
        <v>32</v>
      </c>
      <c r="F887" t="s">
        <v>20</v>
      </c>
      <c r="G887">
        <v>43</v>
      </c>
      <c r="H887" t="str">
        <f t="shared" si="13"/>
        <v>35-44</v>
      </c>
      <c r="I887">
        <v>8</v>
      </c>
      <c r="J887">
        <v>36891</v>
      </c>
      <c r="K887">
        <v>20</v>
      </c>
      <c r="L887">
        <v>295128</v>
      </c>
      <c r="M887">
        <v>59025.599999999999</v>
      </c>
      <c r="N887">
        <v>236102.39999999999</v>
      </c>
    </row>
    <row r="888" spans="1:14" x14ac:dyDescent="0.25">
      <c r="A888">
        <v>10887</v>
      </c>
      <c r="B888" s="4">
        <v>45813</v>
      </c>
      <c r="C888" t="s">
        <v>33</v>
      </c>
      <c r="D888" t="s">
        <v>18</v>
      </c>
      <c r="E888" t="s">
        <v>25</v>
      </c>
      <c r="F888" t="s">
        <v>24</v>
      </c>
      <c r="G888">
        <v>42</v>
      </c>
      <c r="H888" t="str">
        <f t="shared" si="13"/>
        <v>35-44</v>
      </c>
      <c r="I888">
        <v>5</v>
      </c>
      <c r="J888">
        <v>29231</v>
      </c>
      <c r="K888">
        <v>15</v>
      </c>
      <c r="L888">
        <v>146155</v>
      </c>
      <c r="M888">
        <v>21923.25</v>
      </c>
      <c r="N888">
        <v>124231.75</v>
      </c>
    </row>
    <row r="889" spans="1:14" x14ac:dyDescent="0.25">
      <c r="A889">
        <v>10888</v>
      </c>
      <c r="B889" s="4">
        <v>45814</v>
      </c>
      <c r="C889" t="s">
        <v>21</v>
      </c>
      <c r="D889" t="s">
        <v>29</v>
      </c>
      <c r="E889" t="s">
        <v>15</v>
      </c>
      <c r="F889" t="s">
        <v>23</v>
      </c>
      <c r="G889">
        <v>24</v>
      </c>
      <c r="H889" t="str">
        <f t="shared" si="13"/>
        <v>18-24</v>
      </c>
      <c r="I889">
        <v>8</v>
      </c>
      <c r="J889">
        <v>29251</v>
      </c>
      <c r="K889">
        <v>5</v>
      </c>
      <c r="L889">
        <v>234008</v>
      </c>
      <c r="M889">
        <v>11700.4</v>
      </c>
      <c r="N889">
        <v>222307.6</v>
      </c>
    </row>
    <row r="890" spans="1:14" x14ac:dyDescent="0.25">
      <c r="A890">
        <v>10889</v>
      </c>
      <c r="B890" s="4">
        <v>45815</v>
      </c>
      <c r="C890" t="s">
        <v>13</v>
      </c>
      <c r="D890" t="s">
        <v>29</v>
      </c>
      <c r="E890" t="s">
        <v>25</v>
      </c>
      <c r="F890" t="s">
        <v>23</v>
      </c>
      <c r="G890">
        <v>33</v>
      </c>
      <c r="H890" t="str">
        <f t="shared" si="13"/>
        <v>25-34</v>
      </c>
      <c r="I890">
        <v>7</v>
      </c>
      <c r="J890">
        <v>49024</v>
      </c>
      <c r="K890">
        <v>0</v>
      </c>
      <c r="L890">
        <v>343168</v>
      </c>
      <c r="M890">
        <v>0</v>
      </c>
      <c r="N890">
        <v>343168</v>
      </c>
    </row>
    <row r="891" spans="1:14" x14ac:dyDescent="0.25">
      <c r="A891">
        <v>10890</v>
      </c>
      <c r="B891" s="4">
        <v>45816</v>
      </c>
      <c r="C891" t="s">
        <v>33</v>
      </c>
      <c r="D891" t="s">
        <v>18</v>
      </c>
      <c r="E891" t="s">
        <v>25</v>
      </c>
      <c r="F891" t="s">
        <v>26</v>
      </c>
      <c r="G891">
        <v>28</v>
      </c>
      <c r="H891" t="str">
        <f t="shared" si="13"/>
        <v>25-34</v>
      </c>
      <c r="I891">
        <v>1</v>
      </c>
      <c r="J891">
        <v>5530</v>
      </c>
      <c r="K891">
        <v>0</v>
      </c>
      <c r="L891">
        <v>5530</v>
      </c>
      <c r="M891">
        <v>0</v>
      </c>
      <c r="N891">
        <v>5530</v>
      </c>
    </row>
    <row r="892" spans="1:14" x14ac:dyDescent="0.25">
      <c r="A892">
        <v>10891</v>
      </c>
      <c r="B892" s="4">
        <v>45817</v>
      </c>
      <c r="C892" t="s">
        <v>13</v>
      </c>
      <c r="D892" t="s">
        <v>27</v>
      </c>
      <c r="E892" t="s">
        <v>32</v>
      </c>
      <c r="F892" t="s">
        <v>23</v>
      </c>
      <c r="G892">
        <v>63</v>
      </c>
      <c r="H892" t="str">
        <f t="shared" si="13"/>
        <v>55+</v>
      </c>
      <c r="I892">
        <v>2</v>
      </c>
      <c r="J892">
        <v>18289</v>
      </c>
      <c r="K892">
        <v>15</v>
      </c>
      <c r="L892">
        <v>36578</v>
      </c>
      <c r="M892">
        <v>5486.7</v>
      </c>
      <c r="N892">
        <v>31091.3</v>
      </c>
    </row>
    <row r="893" spans="1:14" x14ac:dyDescent="0.25">
      <c r="A893">
        <v>10892</v>
      </c>
      <c r="B893" s="4">
        <v>45818</v>
      </c>
      <c r="C893" t="s">
        <v>21</v>
      </c>
      <c r="D893" t="s">
        <v>29</v>
      </c>
      <c r="E893" t="s">
        <v>15</v>
      </c>
      <c r="F893" t="s">
        <v>28</v>
      </c>
      <c r="G893">
        <v>37</v>
      </c>
      <c r="H893" t="str">
        <f t="shared" si="13"/>
        <v>35-44</v>
      </c>
      <c r="I893">
        <v>2</v>
      </c>
      <c r="J893">
        <v>1771</v>
      </c>
      <c r="K893">
        <v>20</v>
      </c>
      <c r="L893">
        <v>3542</v>
      </c>
      <c r="M893">
        <v>708.4</v>
      </c>
      <c r="N893">
        <v>2833.6</v>
      </c>
    </row>
    <row r="894" spans="1:14" x14ac:dyDescent="0.25">
      <c r="A894">
        <v>10893</v>
      </c>
      <c r="B894" s="4">
        <v>45819</v>
      </c>
      <c r="C894" t="s">
        <v>17</v>
      </c>
      <c r="D894" t="s">
        <v>27</v>
      </c>
      <c r="E894" t="s">
        <v>15</v>
      </c>
      <c r="F894" t="s">
        <v>16</v>
      </c>
      <c r="G894">
        <v>40</v>
      </c>
      <c r="H894" t="str">
        <f t="shared" si="13"/>
        <v>35-44</v>
      </c>
      <c r="I894">
        <v>2</v>
      </c>
      <c r="J894">
        <v>37219</v>
      </c>
      <c r="K894">
        <v>5</v>
      </c>
      <c r="L894">
        <v>74438</v>
      </c>
      <c r="M894">
        <v>3721.9</v>
      </c>
      <c r="N894">
        <v>70716.100000000006</v>
      </c>
    </row>
    <row r="895" spans="1:14" x14ac:dyDescent="0.25">
      <c r="A895">
        <v>10894</v>
      </c>
      <c r="B895" s="4">
        <v>45820</v>
      </c>
      <c r="C895" t="s">
        <v>21</v>
      </c>
      <c r="D895" t="s">
        <v>14</v>
      </c>
      <c r="E895" t="s">
        <v>15</v>
      </c>
      <c r="F895" t="s">
        <v>31</v>
      </c>
      <c r="G895">
        <v>20</v>
      </c>
      <c r="H895" t="str">
        <f t="shared" si="13"/>
        <v>18-24</v>
      </c>
      <c r="I895">
        <v>6</v>
      </c>
      <c r="J895">
        <v>37303</v>
      </c>
      <c r="K895">
        <v>0</v>
      </c>
      <c r="L895">
        <v>223818</v>
      </c>
      <c r="M895">
        <v>0</v>
      </c>
      <c r="N895">
        <v>223818</v>
      </c>
    </row>
    <row r="896" spans="1:14" x14ac:dyDescent="0.25">
      <c r="A896">
        <v>10895</v>
      </c>
      <c r="B896" s="4">
        <v>45821</v>
      </c>
      <c r="C896" t="s">
        <v>17</v>
      </c>
      <c r="D896" t="s">
        <v>29</v>
      </c>
      <c r="E896" t="s">
        <v>15</v>
      </c>
      <c r="F896" t="s">
        <v>26</v>
      </c>
      <c r="G896">
        <v>60</v>
      </c>
      <c r="H896" t="str">
        <f t="shared" si="13"/>
        <v>55+</v>
      </c>
      <c r="I896">
        <v>8</v>
      </c>
      <c r="J896">
        <v>13062</v>
      </c>
      <c r="K896">
        <v>20</v>
      </c>
      <c r="L896">
        <v>104496</v>
      </c>
      <c r="M896">
        <v>20899.2</v>
      </c>
      <c r="N896">
        <v>83596.800000000003</v>
      </c>
    </row>
    <row r="897" spans="1:14" x14ac:dyDescent="0.25">
      <c r="A897">
        <v>10896</v>
      </c>
      <c r="B897" s="4">
        <v>45822</v>
      </c>
      <c r="C897" t="s">
        <v>13</v>
      </c>
      <c r="D897" t="s">
        <v>22</v>
      </c>
      <c r="E897" t="s">
        <v>32</v>
      </c>
      <c r="F897" t="s">
        <v>28</v>
      </c>
      <c r="G897">
        <v>29</v>
      </c>
      <c r="H897" t="str">
        <f t="shared" si="13"/>
        <v>25-34</v>
      </c>
      <c r="I897">
        <v>2</v>
      </c>
      <c r="J897">
        <v>35735</v>
      </c>
      <c r="K897">
        <v>0</v>
      </c>
      <c r="L897">
        <v>71470</v>
      </c>
      <c r="M897">
        <v>0</v>
      </c>
      <c r="N897">
        <v>71470</v>
      </c>
    </row>
    <row r="898" spans="1:14" x14ac:dyDescent="0.25">
      <c r="A898">
        <v>10897</v>
      </c>
      <c r="B898" s="4">
        <v>45823</v>
      </c>
      <c r="C898" t="s">
        <v>13</v>
      </c>
      <c r="D898" t="s">
        <v>29</v>
      </c>
      <c r="E898" t="s">
        <v>19</v>
      </c>
      <c r="F898" t="s">
        <v>16</v>
      </c>
      <c r="G898">
        <v>57</v>
      </c>
      <c r="H898" t="str">
        <f t="shared" si="13"/>
        <v>55+</v>
      </c>
      <c r="I898">
        <v>9</v>
      </c>
      <c r="J898">
        <v>3027</v>
      </c>
      <c r="K898">
        <v>5</v>
      </c>
      <c r="L898">
        <v>27243</v>
      </c>
      <c r="M898">
        <v>1362.15</v>
      </c>
      <c r="N898">
        <v>25880.85</v>
      </c>
    </row>
    <row r="899" spans="1:14" x14ac:dyDescent="0.25">
      <c r="A899">
        <v>10898</v>
      </c>
      <c r="B899" s="4">
        <v>45824</v>
      </c>
      <c r="C899" t="s">
        <v>17</v>
      </c>
      <c r="D899" t="s">
        <v>22</v>
      </c>
      <c r="E899" t="s">
        <v>15</v>
      </c>
      <c r="F899" t="s">
        <v>31</v>
      </c>
      <c r="G899">
        <v>29</v>
      </c>
      <c r="H899" t="str">
        <f t="shared" ref="H899:H962" si="14">IF(G899&lt;25,"18-24",IF(G899&lt;35,"25-34",IF(G899&lt;45,"35-44",IF(G899&lt;55,"45-54","55+"))))</f>
        <v>25-34</v>
      </c>
      <c r="I899">
        <v>7</v>
      </c>
      <c r="J899">
        <v>5459</v>
      </c>
      <c r="K899">
        <v>0</v>
      </c>
      <c r="L899">
        <v>38213</v>
      </c>
      <c r="M899">
        <v>0</v>
      </c>
      <c r="N899">
        <v>38213</v>
      </c>
    </row>
    <row r="900" spans="1:14" x14ac:dyDescent="0.25">
      <c r="A900">
        <v>10899</v>
      </c>
      <c r="B900" s="4">
        <v>45825</v>
      </c>
      <c r="C900" t="s">
        <v>13</v>
      </c>
      <c r="D900" t="s">
        <v>18</v>
      </c>
      <c r="E900" t="s">
        <v>15</v>
      </c>
      <c r="F900" t="s">
        <v>31</v>
      </c>
      <c r="G900">
        <v>59</v>
      </c>
      <c r="H900" t="str">
        <f t="shared" si="14"/>
        <v>55+</v>
      </c>
      <c r="I900">
        <v>1</v>
      </c>
      <c r="J900">
        <v>19727</v>
      </c>
      <c r="K900">
        <v>5</v>
      </c>
      <c r="L900">
        <v>19727</v>
      </c>
      <c r="M900">
        <v>986.35</v>
      </c>
      <c r="N900">
        <v>18740.650000000001</v>
      </c>
    </row>
    <row r="901" spans="1:14" x14ac:dyDescent="0.25">
      <c r="A901">
        <v>10900</v>
      </c>
      <c r="B901" s="4">
        <v>45826</v>
      </c>
      <c r="C901" t="s">
        <v>13</v>
      </c>
      <c r="D901" t="s">
        <v>29</v>
      </c>
      <c r="E901" t="s">
        <v>32</v>
      </c>
      <c r="F901" t="s">
        <v>28</v>
      </c>
      <c r="G901">
        <v>26</v>
      </c>
      <c r="H901" t="str">
        <f t="shared" si="14"/>
        <v>25-34</v>
      </c>
      <c r="I901">
        <v>6</v>
      </c>
      <c r="J901">
        <v>38319</v>
      </c>
      <c r="K901">
        <v>10</v>
      </c>
      <c r="L901">
        <v>229914</v>
      </c>
      <c r="M901">
        <v>22991.4</v>
      </c>
      <c r="N901">
        <v>206922.6</v>
      </c>
    </row>
    <row r="902" spans="1:14" x14ac:dyDescent="0.25">
      <c r="A902">
        <v>10901</v>
      </c>
      <c r="B902" s="4">
        <v>45827</v>
      </c>
      <c r="C902" t="s">
        <v>13</v>
      </c>
      <c r="D902" t="s">
        <v>18</v>
      </c>
      <c r="E902" t="s">
        <v>19</v>
      </c>
      <c r="F902" t="s">
        <v>31</v>
      </c>
      <c r="G902">
        <v>37</v>
      </c>
      <c r="H902" t="str">
        <f t="shared" si="14"/>
        <v>35-44</v>
      </c>
      <c r="I902">
        <v>7</v>
      </c>
      <c r="J902">
        <v>45538</v>
      </c>
      <c r="K902">
        <v>0</v>
      </c>
      <c r="L902">
        <v>318766</v>
      </c>
      <c r="M902">
        <v>0</v>
      </c>
      <c r="N902">
        <v>318766</v>
      </c>
    </row>
    <row r="903" spans="1:14" x14ac:dyDescent="0.25">
      <c r="A903">
        <v>10902</v>
      </c>
      <c r="B903" s="4">
        <v>45828</v>
      </c>
      <c r="C903" t="s">
        <v>21</v>
      </c>
      <c r="D903" t="s">
        <v>18</v>
      </c>
      <c r="E903" t="s">
        <v>25</v>
      </c>
      <c r="F903" t="s">
        <v>20</v>
      </c>
      <c r="G903">
        <v>45</v>
      </c>
      <c r="H903" t="str">
        <f t="shared" si="14"/>
        <v>45-54</v>
      </c>
      <c r="I903">
        <v>7</v>
      </c>
      <c r="J903">
        <v>3279</v>
      </c>
      <c r="K903">
        <v>15</v>
      </c>
      <c r="L903">
        <v>22953</v>
      </c>
      <c r="M903">
        <v>3442.95</v>
      </c>
      <c r="N903">
        <v>19510.05</v>
      </c>
    </row>
    <row r="904" spans="1:14" x14ac:dyDescent="0.25">
      <c r="A904">
        <v>10903</v>
      </c>
      <c r="B904" s="4">
        <v>45829</v>
      </c>
      <c r="C904" t="s">
        <v>33</v>
      </c>
      <c r="D904" t="s">
        <v>14</v>
      </c>
      <c r="E904" t="s">
        <v>19</v>
      </c>
      <c r="F904" t="s">
        <v>16</v>
      </c>
      <c r="G904">
        <v>27</v>
      </c>
      <c r="H904" t="str">
        <f t="shared" si="14"/>
        <v>25-34</v>
      </c>
      <c r="I904">
        <v>4</v>
      </c>
      <c r="J904">
        <v>42290</v>
      </c>
      <c r="K904">
        <v>0</v>
      </c>
      <c r="L904">
        <v>169160</v>
      </c>
      <c r="M904">
        <v>0</v>
      </c>
      <c r="N904">
        <v>169160</v>
      </c>
    </row>
    <row r="905" spans="1:14" x14ac:dyDescent="0.25">
      <c r="A905">
        <v>10904</v>
      </c>
      <c r="B905" s="4">
        <v>45830</v>
      </c>
      <c r="C905" t="s">
        <v>13</v>
      </c>
      <c r="D905" t="s">
        <v>29</v>
      </c>
      <c r="E905" t="s">
        <v>15</v>
      </c>
      <c r="F905" t="s">
        <v>24</v>
      </c>
      <c r="G905">
        <v>24</v>
      </c>
      <c r="H905" t="str">
        <f t="shared" si="14"/>
        <v>18-24</v>
      </c>
      <c r="I905">
        <v>8</v>
      </c>
      <c r="J905">
        <v>30231</v>
      </c>
      <c r="K905">
        <v>20</v>
      </c>
      <c r="L905">
        <v>241848</v>
      </c>
      <c r="M905">
        <v>48369.599999999999</v>
      </c>
      <c r="N905">
        <v>193478.39999999999</v>
      </c>
    </row>
    <row r="906" spans="1:14" x14ac:dyDescent="0.25">
      <c r="A906">
        <v>10905</v>
      </c>
      <c r="B906" s="4">
        <v>45831</v>
      </c>
      <c r="C906" t="s">
        <v>17</v>
      </c>
      <c r="D906" t="s">
        <v>29</v>
      </c>
      <c r="E906" t="s">
        <v>25</v>
      </c>
      <c r="F906" t="s">
        <v>28</v>
      </c>
      <c r="G906">
        <v>36</v>
      </c>
      <c r="H906" t="str">
        <f t="shared" si="14"/>
        <v>35-44</v>
      </c>
      <c r="I906">
        <v>2</v>
      </c>
      <c r="J906">
        <v>2973</v>
      </c>
      <c r="K906">
        <v>0</v>
      </c>
      <c r="L906">
        <v>5946</v>
      </c>
      <c r="M906">
        <v>0</v>
      </c>
      <c r="N906">
        <v>5946</v>
      </c>
    </row>
    <row r="907" spans="1:14" x14ac:dyDescent="0.25">
      <c r="A907">
        <v>10906</v>
      </c>
      <c r="B907" s="4">
        <v>45832</v>
      </c>
      <c r="C907" t="s">
        <v>33</v>
      </c>
      <c r="D907" t="s">
        <v>14</v>
      </c>
      <c r="E907" t="s">
        <v>19</v>
      </c>
      <c r="F907" t="s">
        <v>24</v>
      </c>
      <c r="G907">
        <v>32</v>
      </c>
      <c r="H907" t="str">
        <f t="shared" si="14"/>
        <v>25-34</v>
      </c>
      <c r="I907">
        <v>6</v>
      </c>
      <c r="J907">
        <v>23937</v>
      </c>
      <c r="K907">
        <v>15</v>
      </c>
      <c r="L907">
        <v>143622</v>
      </c>
      <c r="M907">
        <v>21543.3</v>
      </c>
      <c r="N907">
        <v>122078.7</v>
      </c>
    </row>
    <row r="908" spans="1:14" x14ac:dyDescent="0.25">
      <c r="A908">
        <v>10907</v>
      </c>
      <c r="B908" s="4">
        <v>45833</v>
      </c>
      <c r="C908" t="s">
        <v>21</v>
      </c>
      <c r="D908" t="s">
        <v>22</v>
      </c>
      <c r="E908" t="s">
        <v>19</v>
      </c>
      <c r="F908" t="s">
        <v>16</v>
      </c>
      <c r="G908">
        <v>23</v>
      </c>
      <c r="H908" t="str">
        <f t="shared" si="14"/>
        <v>18-24</v>
      </c>
      <c r="I908">
        <v>4</v>
      </c>
      <c r="J908">
        <v>3240</v>
      </c>
      <c r="K908">
        <v>5</v>
      </c>
      <c r="L908">
        <v>12960</v>
      </c>
      <c r="M908">
        <v>648</v>
      </c>
      <c r="N908">
        <v>12312</v>
      </c>
    </row>
    <row r="909" spans="1:14" x14ac:dyDescent="0.25">
      <c r="A909">
        <v>10908</v>
      </c>
      <c r="B909" s="4">
        <v>45834</v>
      </c>
      <c r="C909" t="s">
        <v>13</v>
      </c>
      <c r="D909" t="s">
        <v>29</v>
      </c>
      <c r="E909" t="s">
        <v>15</v>
      </c>
      <c r="F909" t="s">
        <v>31</v>
      </c>
      <c r="G909">
        <v>37</v>
      </c>
      <c r="H909" t="str">
        <f t="shared" si="14"/>
        <v>35-44</v>
      </c>
      <c r="I909">
        <v>4</v>
      </c>
      <c r="J909">
        <v>17696</v>
      </c>
      <c r="K909">
        <v>0</v>
      </c>
      <c r="L909">
        <v>70784</v>
      </c>
      <c r="M909">
        <v>0</v>
      </c>
      <c r="N909">
        <v>70784</v>
      </c>
    </row>
    <row r="910" spans="1:14" x14ac:dyDescent="0.25">
      <c r="A910">
        <v>10909</v>
      </c>
      <c r="B910" s="4">
        <v>45835</v>
      </c>
      <c r="C910" t="s">
        <v>13</v>
      </c>
      <c r="D910" t="s">
        <v>18</v>
      </c>
      <c r="E910" t="s">
        <v>25</v>
      </c>
      <c r="F910" t="s">
        <v>20</v>
      </c>
      <c r="G910">
        <v>53</v>
      </c>
      <c r="H910" t="str">
        <f t="shared" si="14"/>
        <v>45-54</v>
      </c>
      <c r="I910">
        <v>7</v>
      </c>
      <c r="J910">
        <v>23860</v>
      </c>
      <c r="K910">
        <v>0</v>
      </c>
      <c r="L910">
        <v>167020</v>
      </c>
      <c r="M910">
        <v>0</v>
      </c>
      <c r="N910">
        <v>167020</v>
      </c>
    </row>
    <row r="911" spans="1:14" x14ac:dyDescent="0.25">
      <c r="A911">
        <v>10910</v>
      </c>
      <c r="B911" s="4">
        <v>45836</v>
      </c>
      <c r="C911" t="s">
        <v>33</v>
      </c>
      <c r="D911" t="s">
        <v>18</v>
      </c>
      <c r="E911" t="s">
        <v>15</v>
      </c>
      <c r="F911" t="s">
        <v>20</v>
      </c>
      <c r="G911">
        <v>53</v>
      </c>
      <c r="H911" t="str">
        <f t="shared" si="14"/>
        <v>45-54</v>
      </c>
      <c r="I911">
        <v>7</v>
      </c>
      <c r="J911">
        <v>40137</v>
      </c>
      <c r="K911">
        <v>15</v>
      </c>
      <c r="L911">
        <v>280959</v>
      </c>
      <c r="M911">
        <v>42143.85</v>
      </c>
      <c r="N911">
        <v>238815.15</v>
      </c>
    </row>
    <row r="912" spans="1:14" x14ac:dyDescent="0.25">
      <c r="A912">
        <v>10911</v>
      </c>
      <c r="B912" s="4">
        <v>45837</v>
      </c>
      <c r="C912" t="s">
        <v>17</v>
      </c>
      <c r="D912" t="s">
        <v>14</v>
      </c>
      <c r="E912" t="s">
        <v>15</v>
      </c>
      <c r="F912" t="s">
        <v>24</v>
      </c>
      <c r="G912">
        <v>40</v>
      </c>
      <c r="H912" t="str">
        <f t="shared" si="14"/>
        <v>35-44</v>
      </c>
      <c r="I912">
        <v>4</v>
      </c>
      <c r="J912">
        <v>19558</v>
      </c>
      <c r="K912">
        <v>10</v>
      </c>
      <c r="L912">
        <v>78232</v>
      </c>
      <c r="M912">
        <v>7823.2</v>
      </c>
      <c r="N912">
        <v>70408.800000000003</v>
      </c>
    </row>
    <row r="913" spans="1:14" x14ac:dyDescent="0.25">
      <c r="A913">
        <v>10912</v>
      </c>
      <c r="B913" s="4">
        <v>45838</v>
      </c>
      <c r="C913" t="s">
        <v>13</v>
      </c>
      <c r="D913" t="s">
        <v>27</v>
      </c>
      <c r="E913" t="s">
        <v>15</v>
      </c>
      <c r="F913" t="s">
        <v>31</v>
      </c>
      <c r="G913">
        <v>31</v>
      </c>
      <c r="H913" t="str">
        <f t="shared" si="14"/>
        <v>25-34</v>
      </c>
      <c r="I913">
        <v>7</v>
      </c>
      <c r="J913">
        <v>37863</v>
      </c>
      <c r="K913">
        <v>0</v>
      </c>
      <c r="L913">
        <v>265041</v>
      </c>
      <c r="M913">
        <v>0</v>
      </c>
      <c r="N913">
        <v>265041</v>
      </c>
    </row>
    <row r="914" spans="1:14" x14ac:dyDescent="0.25">
      <c r="A914">
        <v>10913</v>
      </c>
      <c r="B914" s="4">
        <v>45839</v>
      </c>
      <c r="C914" t="s">
        <v>13</v>
      </c>
      <c r="D914" t="s">
        <v>29</v>
      </c>
      <c r="E914" t="s">
        <v>15</v>
      </c>
      <c r="F914" t="s">
        <v>23</v>
      </c>
      <c r="G914">
        <v>39</v>
      </c>
      <c r="H914" t="str">
        <f t="shared" si="14"/>
        <v>35-44</v>
      </c>
      <c r="I914">
        <v>5</v>
      </c>
      <c r="J914">
        <v>49196</v>
      </c>
      <c r="K914">
        <v>10</v>
      </c>
      <c r="L914">
        <v>245980</v>
      </c>
      <c r="M914">
        <v>24598</v>
      </c>
      <c r="N914">
        <v>221382</v>
      </c>
    </row>
    <row r="915" spans="1:14" x14ac:dyDescent="0.25">
      <c r="A915">
        <v>10914</v>
      </c>
      <c r="B915" s="4">
        <v>45840</v>
      </c>
      <c r="C915" t="s">
        <v>33</v>
      </c>
      <c r="D915" t="s">
        <v>29</v>
      </c>
      <c r="E915" t="s">
        <v>32</v>
      </c>
      <c r="F915" t="s">
        <v>24</v>
      </c>
      <c r="G915">
        <v>25</v>
      </c>
      <c r="H915" t="str">
        <f t="shared" si="14"/>
        <v>25-34</v>
      </c>
      <c r="I915">
        <v>2</v>
      </c>
      <c r="J915">
        <v>27597</v>
      </c>
      <c r="K915">
        <v>0</v>
      </c>
      <c r="L915">
        <v>55194</v>
      </c>
      <c r="M915">
        <v>0</v>
      </c>
      <c r="N915">
        <v>55194</v>
      </c>
    </row>
    <row r="916" spans="1:14" x14ac:dyDescent="0.25">
      <c r="A916">
        <v>10915</v>
      </c>
      <c r="B916" s="4">
        <v>45841</v>
      </c>
      <c r="C916" t="s">
        <v>33</v>
      </c>
      <c r="D916" t="s">
        <v>18</v>
      </c>
      <c r="E916" t="s">
        <v>25</v>
      </c>
      <c r="F916" t="s">
        <v>24</v>
      </c>
      <c r="G916">
        <v>24</v>
      </c>
      <c r="H916" t="str">
        <f t="shared" si="14"/>
        <v>18-24</v>
      </c>
      <c r="I916">
        <v>9</v>
      </c>
      <c r="J916">
        <v>15101</v>
      </c>
      <c r="K916">
        <v>5</v>
      </c>
      <c r="L916">
        <v>135909</v>
      </c>
      <c r="M916">
        <v>6795.45</v>
      </c>
      <c r="N916">
        <v>129113.55</v>
      </c>
    </row>
    <row r="917" spans="1:14" x14ac:dyDescent="0.25">
      <c r="A917">
        <v>10916</v>
      </c>
      <c r="B917" s="4">
        <v>45842</v>
      </c>
      <c r="C917" t="s">
        <v>21</v>
      </c>
      <c r="D917" t="s">
        <v>27</v>
      </c>
      <c r="E917" t="s">
        <v>25</v>
      </c>
      <c r="F917" t="s">
        <v>16</v>
      </c>
      <c r="G917">
        <v>31</v>
      </c>
      <c r="H917" t="str">
        <f t="shared" si="14"/>
        <v>25-34</v>
      </c>
      <c r="I917">
        <v>3</v>
      </c>
      <c r="J917">
        <v>38667</v>
      </c>
      <c r="K917">
        <v>20</v>
      </c>
      <c r="L917">
        <v>116001</v>
      </c>
      <c r="M917">
        <v>23200.2</v>
      </c>
      <c r="N917">
        <v>92800.8</v>
      </c>
    </row>
    <row r="918" spans="1:14" x14ac:dyDescent="0.25">
      <c r="A918">
        <v>10917</v>
      </c>
      <c r="B918" s="4">
        <v>45843</v>
      </c>
      <c r="C918" t="s">
        <v>17</v>
      </c>
      <c r="D918" t="s">
        <v>14</v>
      </c>
      <c r="E918" t="s">
        <v>15</v>
      </c>
      <c r="F918" t="s">
        <v>23</v>
      </c>
      <c r="G918">
        <v>46</v>
      </c>
      <c r="H918" t="str">
        <f t="shared" si="14"/>
        <v>45-54</v>
      </c>
      <c r="I918">
        <v>1</v>
      </c>
      <c r="J918">
        <v>14279</v>
      </c>
      <c r="K918">
        <v>20</v>
      </c>
      <c r="L918">
        <v>14279</v>
      </c>
      <c r="M918">
        <v>2855.8</v>
      </c>
      <c r="N918">
        <v>11423.2</v>
      </c>
    </row>
    <row r="919" spans="1:14" x14ac:dyDescent="0.25">
      <c r="A919">
        <v>10918</v>
      </c>
      <c r="B919" s="4">
        <v>45844</v>
      </c>
      <c r="C919" t="s">
        <v>33</v>
      </c>
      <c r="D919" t="s">
        <v>29</v>
      </c>
      <c r="E919" t="s">
        <v>25</v>
      </c>
      <c r="F919" t="s">
        <v>24</v>
      </c>
      <c r="G919">
        <v>61</v>
      </c>
      <c r="H919" t="str">
        <f t="shared" si="14"/>
        <v>55+</v>
      </c>
      <c r="I919">
        <v>8</v>
      </c>
      <c r="J919">
        <v>40016</v>
      </c>
      <c r="K919">
        <v>20</v>
      </c>
      <c r="L919">
        <v>320128</v>
      </c>
      <c r="M919">
        <v>64025.599999999999</v>
      </c>
      <c r="N919">
        <v>256102.39999999999</v>
      </c>
    </row>
    <row r="920" spans="1:14" x14ac:dyDescent="0.25">
      <c r="A920">
        <v>10919</v>
      </c>
      <c r="B920" s="4">
        <v>45845</v>
      </c>
      <c r="C920" t="s">
        <v>17</v>
      </c>
      <c r="D920" t="s">
        <v>27</v>
      </c>
      <c r="E920" t="s">
        <v>32</v>
      </c>
      <c r="F920" t="s">
        <v>31</v>
      </c>
      <c r="G920">
        <v>38</v>
      </c>
      <c r="H920" t="str">
        <f t="shared" si="14"/>
        <v>35-44</v>
      </c>
      <c r="I920">
        <v>7</v>
      </c>
      <c r="J920">
        <v>28141</v>
      </c>
      <c r="K920">
        <v>0</v>
      </c>
      <c r="L920">
        <v>196987</v>
      </c>
      <c r="M920">
        <v>0</v>
      </c>
      <c r="N920">
        <v>196987</v>
      </c>
    </row>
    <row r="921" spans="1:14" x14ac:dyDescent="0.25">
      <c r="A921">
        <v>10920</v>
      </c>
      <c r="B921" s="4">
        <v>45846</v>
      </c>
      <c r="C921" t="s">
        <v>17</v>
      </c>
      <c r="D921" t="s">
        <v>18</v>
      </c>
      <c r="E921" t="s">
        <v>19</v>
      </c>
      <c r="F921" t="s">
        <v>16</v>
      </c>
      <c r="G921">
        <v>24</v>
      </c>
      <c r="H921" t="str">
        <f t="shared" si="14"/>
        <v>18-24</v>
      </c>
      <c r="I921">
        <v>9</v>
      </c>
      <c r="J921">
        <v>1935</v>
      </c>
      <c r="K921">
        <v>5</v>
      </c>
      <c r="L921">
        <v>17415</v>
      </c>
      <c r="M921">
        <v>870.75</v>
      </c>
      <c r="N921">
        <v>16544.25</v>
      </c>
    </row>
    <row r="922" spans="1:14" x14ac:dyDescent="0.25">
      <c r="A922">
        <v>10921</v>
      </c>
      <c r="B922" s="4">
        <v>45847</v>
      </c>
      <c r="C922" t="s">
        <v>17</v>
      </c>
      <c r="D922" t="s">
        <v>27</v>
      </c>
      <c r="E922" t="s">
        <v>19</v>
      </c>
      <c r="F922" t="s">
        <v>20</v>
      </c>
      <c r="G922">
        <v>51</v>
      </c>
      <c r="H922" t="str">
        <f t="shared" si="14"/>
        <v>45-54</v>
      </c>
      <c r="I922">
        <v>1</v>
      </c>
      <c r="J922">
        <v>48924</v>
      </c>
      <c r="K922">
        <v>0</v>
      </c>
      <c r="L922">
        <v>48924</v>
      </c>
      <c r="M922">
        <v>0</v>
      </c>
      <c r="N922">
        <v>48924</v>
      </c>
    </row>
    <row r="923" spans="1:14" x14ac:dyDescent="0.25">
      <c r="A923">
        <v>10922</v>
      </c>
      <c r="B923" s="4">
        <v>45848</v>
      </c>
      <c r="C923" t="s">
        <v>33</v>
      </c>
      <c r="D923" t="s">
        <v>14</v>
      </c>
      <c r="E923" t="s">
        <v>19</v>
      </c>
      <c r="F923" t="s">
        <v>23</v>
      </c>
      <c r="G923">
        <v>46</v>
      </c>
      <c r="H923" t="str">
        <f t="shared" si="14"/>
        <v>45-54</v>
      </c>
      <c r="I923">
        <v>3</v>
      </c>
      <c r="J923">
        <v>7789</v>
      </c>
      <c r="K923">
        <v>5</v>
      </c>
      <c r="L923">
        <v>23367</v>
      </c>
      <c r="M923">
        <v>1168.3499999999999</v>
      </c>
      <c r="N923">
        <v>22198.65</v>
      </c>
    </row>
    <row r="924" spans="1:14" x14ac:dyDescent="0.25">
      <c r="A924">
        <v>10923</v>
      </c>
      <c r="B924" s="4">
        <v>45849</v>
      </c>
      <c r="C924" t="s">
        <v>17</v>
      </c>
      <c r="D924" t="s">
        <v>14</v>
      </c>
      <c r="E924" t="s">
        <v>25</v>
      </c>
      <c r="F924" t="s">
        <v>20</v>
      </c>
      <c r="G924">
        <v>27</v>
      </c>
      <c r="H924" t="str">
        <f t="shared" si="14"/>
        <v>25-34</v>
      </c>
      <c r="I924">
        <v>3</v>
      </c>
      <c r="J924">
        <v>37363</v>
      </c>
      <c r="K924">
        <v>15</v>
      </c>
      <c r="L924">
        <v>112089</v>
      </c>
      <c r="M924">
        <v>16813.349999999999</v>
      </c>
      <c r="N924">
        <v>95275.65</v>
      </c>
    </row>
    <row r="925" spans="1:14" x14ac:dyDescent="0.25">
      <c r="A925">
        <v>10924</v>
      </c>
      <c r="B925" s="4">
        <v>45850</v>
      </c>
      <c r="C925" t="s">
        <v>21</v>
      </c>
      <c r="D925" t="s">
        <v>14</v>
      </c>
      <c r="E925" t="s">
        <v>25</v>
      </c>
      <c r="F925" t="s">
        <v>31</v>
      </c>
      <c r="G925">
        <v>43</v>
      </c>
      <c r="H925" t="str">
        <f t="shared" si="14"/>
        <v>35-44</v>
      </c>
      <c r="I925">
        <v>7</v>
      </c>
      <c r="J925">
        <v>25911</v>
      </c>
      <c r="K925">
        <v>15</v>
      </c>
      <c r="L925">
        <v>181377</v>
      </c>
      <c r="M925">
        <v>27206.55</v>
      </c>
      <c r="N925">
        <v>154170.45000000001</v>
      </c>
    </row>
    <row r="926" spans="1:14" x14ac:dyDescent="0.25">
      <c r="A926">
        <v>10925</v>
      </c>
      <c r="B926" s="4">
        <v>45851</v>
      </c>
      <c r="C926" t="s">
        <v>33</v>
      </c>
      <c r="D926" t="s">
        <v>18</v>
      </c>
      <c r="E926" t="s">
        <v>32</v>
      </c>
      <c r="F926" t="s">
        <v>30</v>
      </c>
      <c r="G926">
        <v>24</v>
      </c>
      <c r="H926" t="str">
        <f t="shared" si="14"/>
        <v>18-24</v>
      </c>
      <c r="I926">
        <v>2</v>
      </c>
      <c r="J926">
        <v>23859</v>
      </c>
      <c r="K926">
        <v>5</v>
      </c>
      <c r="L926">
        <v>47718</v>
      </c>
      <c r="M926">
        <v>2385.9</v>
      </c>
      <c r="N926">
        <v>45332.1</v>
      </c>
    </row>
    <row r="927" spans="1:14" x14ac:dyDescent="0.25">
      <c r="A927">
        <v>10926</v>
      </c>
      <c r="B927" s="4">
        <v>45852</v>
      </c>
      <c r="C927" t="s">
        <v>21</v>
      </c>
      <c r="D927" t="s">
        <v>29</v>
      </c>
      <c r="E927" t="s">
        <v>32</v>
      </c>
      <c r="F927" t="s">
        <v>26</v>
      </c>
      <c r="G927">
        <v>31</v>
      </c>
      <c r="H927" t="str">
        <f t="shared" si="14"/>
        <v>25-34</v>
      </c>
      <c r="I927">
        <v>9</v>
      </c>
      <c r="J927">
        <v>34083</v>
      </c>
      <c r="K927">
        <v>20</v>
      </c>
      <c r="L927">
        <v>306747</v>
      </c>
      <c r="M927">
        <v>61349.4</v>
      </c>
      <c r="N927">
        <v>245397.6</v>
      </c>
    </row>
    <row r="928" spans="1:14" x14ac:dyDescent="0.25">
      <c r="A928">
        <v>10927</v>
      </c>
      <c r="B928" s="4">
        <v>45853</v>
      </c>
      <c r="C928" t="s">
        <v>13</v>
      </c>
      <c r="D928" t="s">
        <v>18</v>
      </c>
      <c r="E928" t="s">
        <v>19</v>
      </c>
      <c r="F928" t="s">
        <v>31</v>
      </c>
      <c r="G928">
        <v>26</v>
      </c>
      <c r="H928" t="str">
        <f t="shared" si="14"/>
        <v>25-34</v>
      </c>
      <c r="I928">
        <v>9</v>
      </c>
      <c r="J928">
        <v>15680</v>
      </c>
      <c r="K928">
        <v>5</v>
      </c>
      <c r="L928">
        <v>141120</v>
      </c>
      <c r="M928">
        <v>7056</v>
      </c>
      <c r="N928">
        <v>134064</v>
      </c>
    </row>
    <row r="929" spans="1:14" x14ac:dyDescent="0.25">
      <c r="A929">
        <v>10928</v>
      </c>
      <c r="B929" s="4">
        <v>45854</v>
      </c>
      <c r="C929" t="s">
        <v>13</v>
      </c>
      <c r="D929" t="s">
        <v>18</v>
      </c>
      <c r="E929" t="s">
        <v>25</v>
      </c>
      <c r="F929" t="s">
        <v>23</v>
      </c>
      <c r="G929">
        <v>59</v>
      </c>
      <c r="H929" t="str">
        <f t="shared" si="14"/>
        <v>55+</v>
      </c>
      <c r="I929">
        <v>3</v>
      </c>
      <c r="J929">
        <v>17060</v>
      </c>
      <c r="K929">
        <v>5</v>
      </c>
      <c r="L929">
        <v>51180</v>
      </c>
      <c r="M929">
        <v>2559</v>
      </c>
      <c r="N929">
        <v>48621</v>
      </c>
    </row>
    <row r="930" spans="1:14" x14ac:dyDescent="0.25">
      <c r="A930">
        <v>10929</v>
      </c>
      <c r="B930" s="4">
        <v>45855</v>
      </c>
      <c r="C930" t="s">
        <v>21</v>
      </c>
      <c r="D930" t="s">
        <v>22</v>
      </c>
      <c r="E930" t="s">
        <v>15</v>
      </c>
      <c r="F930" t="s">
        <v>24</v>
      </c>
      <c r="G930">
        <v>43</v>
      </c>
      <c r="H930" t="str">
        <f t="shared" si="14"/>
        <v>35-44</v>
      </c>
      <c r="I930">
        <v>9</v>
      </c>
      <c r="J930">
        <v>49608</v>
      </c>
      <c r="K930">
        <v>10</v>
      </c>
      <c r="L930">
        <v>446472</v>
      </c>
      <c r="M930">
        <v>44647.199999999997</v>
      </c>
      <c r="N930">
        <v>401824.8</v>
      </c>
    </row>
    <row r="931" spans="1:14" x14ac:dyDescent="0.25">
      <c r="A931">
        <v>10930</v>
      </c>
      <c r="B931" s="4">
        <v>45856</v>
      </c>
      <c r="C931" t="s">
        <v>13</v>
      </c>
      <c r="D931" t="s">
        <v>18</v>
      </c>
      <c r="E931" t="s">
        <v>19</v>
      </c>
      <c r="F931" t="s">
        <v>26</v>
      </c>
      <c r="G931">
        <v>56</v>
      </c>
      <c r="H931" t="str">
        <f t="shared" si="14"/>
        <v>55+</v>
      </c>
      <c r="I931">
        <v>8</v>
      </c>
      <c r="J931">
        <v>7679</v>
      </c>
      <c r="K931">
        <v>5</v>
      </c>
      <c r="L931">
        <v>61432</v>
      </c>
      <c r="M931">
        <v>3071.6</v>
      </c>
      <c r="N931">
        <v>58360.4</v>
      </c>
    </row>
    <row r="932" spans="1:14" x14ac:dyDescent="0.25">
      <c r="A932">
        <v>10931</v>
      </c>
      <c r="B932" s="4">
        <v>45857</v>
      </c>
      <c r="C932" t="s">
        <v>33</v>
      </c>
      <c r="D932" t="s">
        <v>18</v>
      </c>
      <c r="E932" t="s">
        <v>15</v>
      </c>
      <c r="F932" t="s">
        <v>16</v>
      </c>
      <c r="G932">
        <v>52</v>
      </c>
      <c r="H932" t="str">
        <f t="shared" si="14"/>
        <v>45-54</v>
      </c>
      <c r="I932">
        <v>6</v>
      </c>
      <c r="J932">
        <v>20556</v>
      </c>
      <c r="K932">
        <v>0</v>
      </c>
      <c r="L932">
        <v>123336</v>
      </c>
      <c r="M932">
        <v>0</v>
      </c>
      <c r="N932">
        <v>123336</v>
      </c>
    </row>
    <row r="933" spans="1:14" x14ac:dyDescent="0.25">
      <c r="A933">
        <v>10932</v>
      </c>
      <c r="B933" s="4">
        <v>45858</v>
      </c>
      <c r="C933" t="s">
        <v>21</v>
      </c>
      <c r="D933" t="s">
        <v>27</v>
      </c>
      <c r="E933" t="s">
        <v>32</v>
      </c>
      <c r="F933" t="s">
        <v>31</v>
      </c>
      <c r="G933">
        <v>22</v>
      </c>
      <c r="H933" t="str">
        <f t="shared" si="14"/>
        <v>18-24</v>
      </c>
      <c r="I933">
        <v>8</v>
      </c>
      <c r="J933">
        <v>34550</v>
      </c>
      <c r="K933">
        <v>20</v>
      </c>
      <c r="L933">
        <v>276400</v>
      </c>
      <c r="M933">
        <v>55280</v>
      </c>
      <c r="N933">
        <v>221120</v>
      </c>
    </row>
    <row r="934" spans="1:14" x14ac:dyDescent="0.25">
      <c r="A934">
        <v>10933</v>
      </c>
      <c r="B934" s="4">
        <v>45859</v>
      </c>
      <c r="C934" t="s">
        <v>17</v>
      </c>
      <c r="D934" t="s">
        <v>18</v>
      </c>
      <c r="E934" t="s">
        <v>32</v>
      </c>
      <c r="F934" t="s">
        <v>23</v>
      </c>
      <c r="G934">
        <v>19</v>
      </c>
      <c r="H934" t="str">
        <f t="shared" si="14"/>
        <v>18-24</v>
      </c>
      <c r="I934">
        <v>3</v>
      </c>
      <c r="J934">
        <v>44504</v>
      </c>
      <c r="K934">
        <v>0</v>
      </c>
      <c r="L934">
        <v>133512</v>
      </c>
      <c r="M934">
        <v>0</v>
      </c>
      <c r="N934">
        <v>133512</v>
      </c>
    </row>
    <row r="935" spans="1:14" x14ac:dyDescent="0.25">
      <c r="A935">
        <v>10934</v>
      </c>
      <c r="B935" s="4">
        <v>45860</v>
      </c>
      <c r="C935" t="s">
        <v>21</v>
      </c>
      <c r="D935" t="s">
        <v>14</v>
      </c>
      <c r="E935" t="s">
        <v>19</v>
      </c>
      <c r="F935" t="s">
        <v>28</v>
      </c>
      <c r="G935">
        <v>42</v>
      </c>
      <c r="H935" t="str">
        <f t="shared" si="14"/>
        <v>35-44</v>
      </c>
      <c r="I935">
        <v>9</v>
      </c>
      <c r="J935">
        <v>7641</v>
      </c>
      <c r="K935">
        <v>15</v>
      </c>
      <c r="L935">
        <v>68769</v>
      </c>
      <c r="M935">
        <v>10315.35</v>
      </c>
      <c r="N935">
        <v>58453.65</v>
      </c>
    </row>
    <row r="936" spans="1:14" x14ac:dyDescent="0.25">
      <c r="A936">
        <v>10935</v>
      </c>
      <c r="B936" s="4">
        <v>45861</v>
      </c>
      <c r="C936" t="s">
        <v>21</v>
      </c>
      <c r="D936" t="s">
        <v>29</v>
      </c>
      <c r="E936" t="s">
        <v>32</v>
      </c>
      <c r="F936" t="s">
        <v>20</v>
      </c>
      <c r="G936">
        <v>56</v>
      </c>
      <c r="H936" t="str">
        <f t="shared" si="14"/>
        <v>55+</v>
      </c>
      <c r="I936">
        <v>8</v>
      </c>
      <c r="J936">
        <v>10611</v>
      </c>
      <c r="K936">
        <v>20</v>
      </c>
      <c r="L936">
        <v>84888</v>
      </c>
      <c r="M936">
        <v>16977.599999999999</v>
      </c>
      <c r="N936">
        <v>67910.399999999994</v>
      </c>
    </row>
    <row r="937" spans="1:14" x14ac:dyDescent="0.25">
      <c r="A937">
        <v>10936</v>
      </c>
      <c r="B937" s="4">
        <v>45862</v>
      </c>
      <c r="C937" t="s">
        <v>21</v>
      </c>
      <c r="D937" t="s">
        <v>14</v>
      </c>
      <c r="E937" t="s">
        <v>32</v>
      </c>
      <c r="F937" t="s">
        <v>24</v>
      </c>
      <c r="G937">
        <v>57</v>
      </c>
      <c r="H937" t="str">
        <f t="shared" si="14"/>
        <v>55+</v>
      </c>
      <c r="I937">
        <v>6</v>
      </c>
      <c r="J937">
        <v>16495</v>
      </c>
      <c r="K937">
        <v>5</v>
      </c>
      <c r="L937">
        <v>98970</v>
      </c>
      <c r="M937">
        <v>4948.5</v>
      </c>
      <c r="N937">
        <v>94021.5</v>
      </c>
    </row>
    <row r="938" spans="1:14" x14ac:dyDescent="0.25">
      <c r="A938">
        <v>10937</v>
      </c>
      <c r="B938" s="4">
        <v>45863</v>
      </c>
      <c r="C938" t="s">
        <v>13</v>
      </c>
      <c r="D938" t="s">
        <v>18</v>
      </c>
      <c r="E938" t="s">
        <v>25</v>
      </c>
      <c r="F938" t="s">
        <v>30</v>
      </c>
      <c r="G938">
        <v>39</v>
      </c>
      <c r="H938" t="str">
        <f t="shared" si="14"/>
        <v>35-44</v>
      </c>
      <c r="I938">
        <v>4</v>
      </c>
      <c r="J938">
        <v>49450</v>
      </c>
      <c r="K938">
        <v>20</v>
      </c>
      <c r="L938">
        <v>197800</v>
      </c>
      <c r="M938">
        <v>39560</v>
      </c>
      <c r="N938">
        <v>158240</v>
      </c>
    </row>
    <row r="939" spans="1:14" x14ac:dyDescent="0.25">
      <c r="A939">
        <v>10938</v>
      </c>
      <c r="B939" s="4">
        <v>45864</v>
      </c>
      <c r="C939" t="s">
        <v>21</v>
      </c>
      <c r="D939" t="s">
        <v>29</v>
      </c>
      <c r="E939" t="s">
        <v>15</v>
      </c>
      <c r="F939" t="s">
        <v>31</v>
      </c>
      <c r="G939">
        <v>56</v>
      </c>
      <c r="H939" t="str">
        <f t="shared" si="14"/>
        <v>55+</v>
      </c>
      <c r="I939">
        <v>6</v>
      </c>
      <c r="J939">
        <v>45759</v>
      </c>
      <c r="K939">
        <v>20</v>
      </c>
      <c r="L939">
        <v>274554</v>
      </c>
      <c r="M939">
        <v>54910.8</v>
      </c>
      <c r="N939">
        <v>219643.2</v>
      </c>
    </row>
    <row r="940" spans="1:14" x14ac:dyDescent="0.25">
      <c r="A940">
        <v>10939</v>
      </c>
      <c r="B940" s="4">
        <v>45865</v>
      </c>
      <c r="C940" t="s">
        <v>21</v>
      </c>
      <c r="D940" t="s">
        <v>14</v>
      </c>
      <c r="E940" t="s">
        <v>19</v>
      </c>
      <c r="F940" t="s">
        <v>20</v>
      </c>
      <c r="G940">
        <v>38</v>
      </c>
      <c r="H940" t="str">
        <f t="shared" si="14"/>
        <v>35-44</v>
      </c>
      <c r="I940">
        <v>9</v>
      </c>
      <c r="J940">
        <v>37399</v>
      </c>
      <c r="K940">
        <v>10</v>
      </c>
      <c r="L940">
        <v>336591</v>
      </c>
      <c r="M940">
        <v>33659.1</v>
      </c>
      <c r="N940">
        <v>302931.90000000002</v>
      </c>
    </row>
    <row r="941" spans="1:14" x14ac:dyDescent="0.25">
      <c r="A941">
        <v>10940</v>
      </c>
      <c r="B941" s="4">
        <v>45866</v>
      </c>
      <c r="C941" t="s">
        <v>13</v>
      </c>
      <c r="D941" t="s">
        <v>29</v>
      </c>
      <c r="E941" t="s">
        <v>25</v>
      </c>
      <c r="F941" t="s">
        <v>26</v>
      </c>
      <c r="G941">
        <v>56</v>
      </c>
      <c r="H941" t="str">
        <f t="shared" si="14"/>
        <v>55+</v>
      </c>
      <c r="I941">
        <v>6</v>
      </c>
      <c r="J941">
        <v>4841</v>
      </c>
      <c r="K941">
        <v>10</v>
      </c>
      <c r="L941">
        <v>29046</v>
      </c>
      <c r="M941">
        <v>2904.6</v>
      </c>
      <c r="N941">
        <v>26141.4</v>
      </c>
    </row>
    <row r="942" spans="1:14" x14ac:dyDescent="0.25">
      <c r="A942">
        <v>10941</v>
      </c>
      <c r="B942" s="4">
        <v>45867</v>
      </c>
      <c r="C942" t="s">
        <v>21</v>
      </c>
      <c r="D942" t="s">
        <v>29</v>
      </c>
      <c r="E942" t="s">
        <v>32</v>
      </c>
      <c r="F942" t="s">
        <v>30</v>
      </c>
      <c r="G942">
        <v>49</v>
      </c>
      <c r="H942" t="str">
        <f t="shared" si="14"/>
        <v>45-54</v>
      </c>
      <c r="I942">
        <v>9</v>
      </c>
      <c r="J942">
        <v>45992</v>
      </c>
      <c r="K942">
        <v>20</v>
      </c>
      <c r="L942">
        <v>413928</v>
      </c>
      <c r="M942">
        <v>82785.600000000006</v>
      </c>
      <c r="N942">
        <v>331142.40000000002</v>
      </c>
    </row>
    <row r="943" spans="1:14" x14ac:dyDescent="0.25">
      <c r="A943">
        <v>10942</v>
      </c>
      <c r="B943" s="4">
        <v>45868</v>
      </c>
      <c r="C943" t="s">
        <v>13</v>
      </c>
      <c r="D943" t="s">
        <v>14</v>
      </c>
      <c r="E943" t="s">
        <v>32</v>
      </c>
      <c r="F943" t="s">
        <v>30</v>
      </c>
      <c r="G943">
        <v>32</v>
      </c>
      <c r="H943" t="str">
        <f t="shared" si="14"/>
        <v>25-34</v>
      </c>
      <c r="I943">
        <v>3</v>
      </c>
      <c r="J943">
        <v>16248</v>
      </c>
      <c r="K943">
        <v>5</v>
      </c>
      <c r="L943">
        <v>48744</v>
      </c>
      <c r="M943">
        <v>2437.1999999999998</v>
      </c>
      <c r="N943">
        <v>46306.8</v>
      </c>
    </row>
    <row r="944" spans="1:14" x14ac:dyDescent="0.25">
      <c r="A944">
        <v>10943</v>
      </c>
      <c r="B944" s="4">
        <v>45869</v>
      </c>
      <c r="C944" t="s">
        <v>13</v>
      </c>
      <c r="D944" t="s">
        <v>27</v>
      </c>
      <c r="E944" t="s">
        <v>32</v>
      </c>
      <c r="F944" t="s">
        <v>28</v>
      </c>
      <c r="G944">
        <v>32</v>
      </c>
      <c r="H944" t="str">
        <f t="shared" si="14"/>
        <v>25-34</v>
      </c>
      <c r="I944">
        <v>6</v>
      </c>
      <c r="J944">
        <v>46616</v>
      </c>
      <c r="K944">
        <v>15</v>
      </c>
      <c r="L944">
        <v>279696</v>
      </c>
      <c r="M944">
        <v>41954.400000000001</v>
      </c>
      <c r="N944">
        <v>237741.6</v>
      </c>
    </row>
    <row r="945" spans="1:14" x14ac:dyDescent="0.25">
      <c r="A945">
        <v>10944</v>
      </c>
      <c r="B945" s="4">
        <v>45870</v>
      </c>
      <c r="C945" t="s">
        <v>17</v>
      </c>
      <c r="D945" t="s">
        <v>22</v>
      </c>
      <c r="E945" t="s">
        <v>19</v>
      </c>
      <c r="F945" t="s">
        <v>24</v>
      </c>
      <c r="G945">
        <v>26</v>
      </c>
      <c r="H945" t="str">
        <f t="shared" si="14"/>
        <v>25-34</v>
      </c>
      <c r="I945">
        <v>7</v>
      </c>
      <c r="J945">
        <v>43912</v>
      </c>
      <c r="K945">
        <v>20</v>
      </c>
      <c r="L945">
        <v>307384</v>
      </c>
      <c r="M945">
        <v>61476.800000000003</v>
      </c>
      <c r="N945">
        <v>245907.20000000001</v>
      </c>
    </row>
    <row r="946" spans="1:14" x14ac:dyDescent="0.25">
      <c r="A946">
        <v>10945</v>
      </c>
      <c r="B946" s="4">
        <v>45871</v>
      </c>
      <c r="C946" t="s">
        <v>33</v>
      </c>
      <c r="D946" t="s">
        <v>18</v>
      </c>
      <c r="E946" t="s">
        <v>15</v>
      </c>
      <c r="F946" t="s">
        <v>31</v>
      </c>
      <c r="G946">
        <v>54</v>
      </c>
      <c r="H946" t="str">
        <f t="shared" si="14"/>
        <v>45-54</v>
      </c>
      <c r="I946">
        <v>3</v>
      </c>
      <c r="J946">
        <v>34790</v>
      </c>
      <c r="K946">
        <v>15</v>
      </c>
      <c r="L946">
        <v>104370</v>
      </c>
      <c r="M946">
        <v>15655.5</v>
      </c>
      <c r="N946">
        <v>88714.5</v>
      </c>
    </row>
    <row r="947" spans="1:14" x14ac:dyDescent="0.25">
      <c r="A947">
        <v>10946</v>
      </c>
      <c r="B947" s="4">
        <v>45872</v>
      </c>
      <c r="C947" t="s">
        <v>17</v>
      </c>
      <c r="D947" t="s">
        <v>22</v>
      </c>
      <c r="E947" t="s">
        <v>25</v>
      </c>
      <c r="F947" t="s">
        <v>26</v>
      </c>
      <c r="G947">
        <v>49</v>
      </c>
      <c r="H947" t="str">
        <f t="shared" si="14"/>
        <v>45-54</v>
      </c>
      <c r="I947">
        <v>7</v>
      </c>
      <c r="J947">
        <v>23336</v>
      </c>
      <c r="K947">
        <v>5</v>
      </c>
      <c r="L947">
        <v>163352</v>
      </c>
      <c r="M947">
        <v>8167.6</v>
      </c>
      <c r="N947">
        <v>155184.4</v>
      </c>
    </row>
    <row r="948" spans="1:14" x14ac:dyDescent="0.25">
      <c r="A948">
        <v>10947</v>
      </c>
      <c r="B948" s="4">
        <v>45873</v>
      </c>
      <c r="C948" t="s">
        <v>33</v>
      </c>
      <c r="D948" t="s">
        <v>29</v>
      </c>
      <c r="E948" t="s">
        <v>19</v>
      </c>
      <c r="F948" t="s">
        <v>28</v>
      </c>
      <c r="G948">
        <v>26</v>
      </c>
      <c r="H948" t="str">
        <f t="shared" si="14"/>
        <v>25-34</v>
      </c>
      <c r="I948">
        <v>8</v>
      </c>
      <c r="J948">
        <v>31179</v>
      </c>
      <c r="K948">
        <v>5</v>
      </c>
      <c r="L948">
        <v>249432</v>
      </c>
      <c r="M948">
        <v>12471.6</v>
      </c>
      <c r="N948">
        <v>236960.4</v>
      </c>
    </row>
    <row r="949" spans="1:14" x14ac:dyDescent="0.25">
      <c r="A949">
        <v>10948</v>
      </c>
      <c r="B949" s="4">
        <v>45874</v>
      </c>
      <c r="C949" t="s">
        <v>21</v>
      </c>
      <c r="D949" t="s">
        <v>22</v>
      </c>
      <c r="E949" t="s">
        <v>15</v>
      </c>
      <c r="F949" t="s">
        <v>31</v>
      </c>
      <c r="G949">
        <v>55</v>
      </c>
      <c r="H949" t="str">
        <f t="shared" si="14"/>
        <v>55+</v>
      </c>
      <c r="I949">
        <v>3</v>
      </c>
      <c r="J949">
        <v>45822</v>
      </c>
      <c r="K949">
        <v>10</v>
      </c>
      <c r="L949">
        <v>137466</v>
      </c>
      <c r="M949">
        <v>13746.6</v>
      </c>
      <c r="N949">
        <v>123719.4</v>
      </c>
    </row>
    <row r="950" spans="1:14" x14ac:dyDescent="0.25">
      <c r="A950">
        <v>10949</v>
      </c>
      <c r="B950" s="4">
        <v>45875</v>
      </c>
      <c r="C950" t="s">
        <v>33</v>
      </c>
      <c r="D950" t="s">
        <v>27</v>
      </c>
      <c r="E950" t="s">
        <v>15</v>
      </c>
      <c r="F950" t="s">
        <v>30</v>
      </c>
      <c r="G950">
        <v>31</v>
      </c>
      <c r="H950" t="str">
        <f t="shared" si="14"/>
        <v>25-34</v>
      </c>
      <c r="I950">
        <v>9</v>
      </c>
      <c r="J950">
        <v>21625</v>
      </c>
      <c r="K950">
        <v>20</v>
      </c>
      <c r="L950">
        <v>194625</v>
      </c>
      <c r="M950">
        <v>38925</v>
      </c>
      <c r="N950">
        <v>155700</v>
      </c>
    </row>
    <row r="951" spans="1:14" x14ac:dyDescent="0.25">
      <c r="A951">
        <v>10950</v>
      </c>
      <c r="B951" s="4">
        <v>45876</v>
      </c>
      <c r="C951" t="s">
        <v>13</v>
      </c>
      <c r="D951" t="s">
        <v>14</v>
      </c>
      <c r="E951" t="s">
        <v>19</v>
      </c>
      <c r="F951" t="s">
        <v>26</v>
      </c>
      <c r="G951">
        <v>52</v>
      </c>
      <c r="H951" t="str">
        <f t="shared" si="14"/>
        <v>45-54</v>
      </c>
      <c r="I951">
        <v>5</v>
      </c>
      <c r="J951">
        <v>27408</v>
      </c>
      <c r="K951">
        <v>5</v>
      </c>
      <c r="L951">
        <v>137040</v>
      </c>
      <c r="M951">
        <v>6852</v>
      </c>
      <c r="N951">
        <v>130188</v>
      </c>
    </row>
    <row r="952" spans="1:14" x14ac:dyDescent="0.25">
      <c r="A952">
        <v>10951</v>
      </c>
      <c r="B952" s="4">
        <v>45877</v>
      </c>
      <c r="C952" t="s">
        <v>21</v>
      </c>
      <c r="D952" t="s">
        <v>22</v>
      </c>
      <c r="E952" t="s">
        <v>19</v>
      </c>
      <c r="F952" t="s">
        <v>31</v>
      </c>
      <c r="G952">
        <v>57</v>
      </c>
      <c r="H952" t="str">
        <f t="shared" si="14"/>
        <v>55+</v>
      </c>
      <c r="I952">
        <v>9</v>
      </c>
      <c r="J952">
        <v>45070</v>
      </c>
      <c r="K952">
        <v>10</v>
      </c>
      <c r="L952">
        <v>405630</v>
      </c>
      <c r="M952">
        <v>40563</v>
      </c>
      <c r="N952">
        <v>365067</v>
      </c>
    </row>
    <row r="953" spans="1:14" x14ac:dyDescent="0.25">
      <c r="A953">
        <v>10952</v>
      </c>
      <c r="B953" s="4">
        <v>45878</v>
      </c>
      <c r="C953" t="s">
        <v>13</v>
      </c>
      <c r="D953" t="s">
        <v>29</v>
      </c>
      <c r="E953" t="s">
        <v>32</v>
      </c>
      <c r="F953" t="s">
        <v>28</v>
      </c>
      <c r="G953">
        <v>37</v>
      </c>
      <c r="H953" t="str">
        <f t="shared" si="14"/>
        <v>35-44</v>
      </c>
      <c r="I953">
        <v>2</v>
      </c>
      <c r="J953">
        <v>35092</v>
      </c>
      <c r="K953">
        <v>20</v>
      </c>
      <c r="L953">
        <v>70184</v>
      </c>
      <c r="M953">
        <v>14036.8</v>
      </c>
      <c r="N953">
        <v>56147.199999999997</v>
      </c>
    </row>
    <row r="954" spans="1:14" x14ac:dyDescent="0.25">
      <c r="A954">
        <v>10953</v>
      </c>
      <c r="B954" s="4">
        <v>45879</v>
      </c>
      <c r="C954" t="s">
        <v>13</v>
      </c>
      <c r="D954" t="s">
        <v>22</v>
      </c>
      <c r="E954" t="s">
        <v>19</v>
      </c>
      <c r="F954" t="s">
        <v>20</v>
      </c>
      <c r="G954">
        <v>21</v>
      </c>
      <c r="H954" t="str">
        <f t="shared" si="14"/>
        <v>18-24</v>
      </c>
      <c r="I954">
        <v>7</v>
      </c>
      <c r="J954">
        <v>14617</v>
      </c>
      <c r="K954">
        <v>5</v>
      </c>
      <c r="L954">
        <v>102319</v>
      </c>
      <c r="M954">
        <v>5115.95</v>
      </c>
      <c r="N954">
        <v>97203.05</v>
      </c>
    </row>
    <row r="955" spans="1:14" x14ac:dyDescent="0.25">
      <c r="A955">
        <v>10954</v>
      </c>
      <c r="B955" s="4">
        <v>45880</v>
      </c>
      <c r="C955" t="s">
        <v>21</v>
      </c>
      <c r="D955" t="s">
        <v>22</v>
      </c>
      <c r="E955" t="s">
        <v>15</v>
      </c>
      <c r="F955" t="s">
        <v>23</v>
      </c>
      <c r="G955">
        <v>49</v>
      </c>
      <c r="H955" t="str">
        <f t="shared" si="14"/>
        <v>45-54</v>
      </c>
      <c r="I955">
        <v>1</v>
      </c>
      <c r="J955">
        <v>35944</v>
      </c>
      <c r="K955">
        <v>10</v>
      </c>
      <c r="L955">
        <v>35944</v>
      </c>
      <c r="M955">
        <v>3594.4</v>
      </c>
      <c r="N955">
        <v>32349.599999999999</v>
      </c>
    </row>
    <row r="956" spans="1:14" x14ac:dyDescent="0.25">
      <c r="A956">
        <v>10955</v>
      </c>
      <c r="B956" s="4">
        <v>45881</v>
      </c>
      <c r="C956" t="s">
        <v>33</v>
      </c>
      <c r="D956" t="s">
        <v>18</v>
      </c>
      <c r="E956" t="s">
        <v>19</v>
      </c>
      <c r="F956" t="s">
        <v>24</v>
      </c>
      <c r="G956">
        <v>24</v>
      </c>
      <c r="H956" t="str">
        <f t="shared" si="14"/>
        <v>18-24</v>
      </c>
      <c r="I956">
        <v>3</v>
      </c>
      <c r="J956">
        <v>29779</v>
      </c>
      <c r="K956">
        <v>5</v>
      </c>
      <c r="L956">
        <v>89337</v>
      </c>
      <c r="M956">
        <v>4466.8500000000004</v>
      </c>
      <c r="N956">
        <v>84870.15</v>
      </c>
    </row>
    <row r="957" spans="1:14" x14ac:dyDescent="0.25">
      <c r="A957">
        <v>10956</v>
      </c>
      <c r="B957" s="4">
        <v>45882</v>
      </c>
      <c r="C957" t="s">
        <v>17</v>
      </c>
      <c r="D957" t="s">
        <v>27</v>
      </c>
      <c r="E957" t="s">
        <v>15</v>
      </c>
      <c r="F957" t="s">
        <v>20</v>
      </c>
      <c r="G957">
        <v>18</v>
      </c>
      <c r="H957" t="str">
        <f t="shared" si="14"/>
        <v>18-24</v>
      </c>
      <c r="I957">
        <v>7</v>
      </c>
      <c r="J957">
        <v>41825</v>
      </c>
      <c r="K957">
        <v>5</v>
      </c>
      <c r="L957">
        <v>292775</v>
      </c>
      <c r="M957">
        <v>14638.75</v>
      </c>
      <c r="N957">
        <v>278136.25</v>
      </c>
    </row>
    <row r="958" spans="1:14" x14ac:dyDescent="0.25">
      <c r="A958">
        <v>10957</v>
      </c>
      <c r="B958" s="4">
        <v>45883</v>
      </c>
      <c r="C958" t="s">
        <v>33</v>
      </c>
      <c r="D958" t="s">
        <v>14</v>
      </c>
      <c r="E958" t="s">
        <v>15</v>
      </c>
      <c r="F958" t="s">
        <v>24</v>
      </c>
      <c r="G958">
        <v>44</v>
      </c>
      <c r="H958" t="str">
        <f t="shared" si="14"/>
        <v>35-44</v>
      </c>
      <c r="I958">
        <v>1</v>
      </c>
      <c r="J958">
        <v>11252</v>
      </c>
      <c r="K958">
        <v>10</v>
      </c>
      <c r="L958">
        <v>11252</v>
      </c>
      <c r="M958">
        <v>1125.2</v>
      </c>
      <c r="N958">
        <v>10126.799999999999</v>
      </c>
    </row>
    <row r="959" spans="1:14" x14ac:dyDescent="0.25">
      <c r="A959">
        <v>10958</v>
      </c>
      <c r="B959" s="4">
        <v>45884</v>
      </c>
      <c r="C959" t="s">
        <v>13</v>
      </c>
      <c r="D959" t="s">
        <v>27</v>
      </c>
      <c r="E959" t="s">
        <v>19</v>
      </c>
      <c r="F959" t="s">
        <v>26</v>
      </c>
      <c r="G959">
        <v>62</v>
      </c>
      <c r="H959" t="str">
        <f t="shared" si="14"/>
        <v>55+</v>
      </c>
      <c r="I959">
        <v>1</v>
      </c>
      <c r="J959">
        <v>6293</v>
      </c>
      <c r="K959">
        <v>5</v>
      </c>
      <c r="L959">
        <v>6293</v>
      </c>
      <c r="M959">
        <v>314.64999999999998</v>
      </c>
      <c r="N959">
        <v>5978.35</v>
      </c>
    </row>
    <row r="960" spans="1:14" x14ac:dyDescent="0.25">
      <c r="A960">
        <v>10959</v>
      </c>
      <c r="B960" s="4">
        <v>45885</v>
      </c>
      <c r="C960" t="s">
        <v>13</v>
      </c>
      <c r="D960" t="s">
        <v>18</v>
      </c>
      <c r="E960" t="s">
        <v>19</v>
      </c>
      <c r="F960" t="s">
        <v>31</v>
      </c>
      <c r="G960">
        <v>43</v>
      </c>
      <c r="H960" t="str">
        <f t="shared" si="14"/>
        <v>35-44</v>
      </c>
      <c r="I960">
        <v>8</v>
      </c>
      <c r="J960">
        <v>27384</v>
      </c>
      <c r="K960">
        <v>20</v>
      </c>
      <c r="L960">
        <v>219072</v>
      </c>
      <c r="M960">
        <v>43814.400000000001</v>
      </c>
      <c r="N960">
        <v>175257.60000000001</v>
      </c>
    </row>
    <row r="961" spans="1:14" x14ac:dyDescent="0.25">
      <c r="A961">
        <v>10960</v>
      </c>
      <c r="B961" s="4">
        <v>45886</v>
      </c>
      <c r="C961" t="s">
        <v>21</v>
      </c>
      <c r="D961" t="s">
        <v>22</v>
      </c>
      <c r="E961" t="s">
        <v>19</v>
      </c>
      <c r="F961" t="s">
        <v>30</v>
      </c>
      <c r="G961">
        <v>31</v>
      </c>
      <c r="H961" t="str">
        <f t="shared" si="14"/>
        <v>25-34</v>
      </c>
      <c r="I961">
        <v>1</v>
      </c>
      <c r="J961">
        <v>27255</v>
      </c>
      <c r="K961">
        <v>15</v>
      </c>
      <c r="L961">
        <v>27255</v>
      </c>
      <c r="M961">
        <v>4088.25</v>
      </c>
      <c r="N961">
        <v>23166.75</v>
      </c>
    </row>
    <row r="962" spans="1:14" x14ac:dyDescent="0.25">
      <c r="A962">
        <v>10961</v>
      </c>
      <c r="B962" s="4">
        <v>45887</v>
      </c>
      <c r="C962" t="s">
        <v>21</v>
      </c>
      <c r="D962" t="s">
        <v>14</v>
      </c>
      <c r="E962" t="s">
        <v>32</v>
      </c>
      <c r="F962" t="s">
        <v>28</v>
      </c>
      <c r="G962">
        <v>48</v>
      </c>
      <c r="H962" t="str">
        <f t="shared" si="14"/>
        <v>45-54</v>
      </c>
      <c r="I962">
        <v>3</v>
      </c>
      <c r="J962">
        <v>18012</v>
      </c>
      <c r="K962">
        <v>15</v>
      </c>
      <c r="L962">
        <v>54036</v>
      </c>
      <c r="M962">
        <v>8105.4</v>
      </c>
      <c r="N962">
        <v>45930.6</v>
      </c>
    </row>
    <row r="963" spans="1:14" x14ac:dyDescent="0.25">
      <c r="A963">
        <v>10962</v>
      </c>
      <c r="B963" s="4">
        <v>45888</v>
      </c>
      <c r="C963" t="s">
        <v>13</v>
      </c>
      <c r="D963" t="s">
        <v>29</v>
      </c>
      <c r="E963" t="s">
        <v>32</v>
      </c>
      <c r="F963" t="s">
        <v>16</v>
      </c>
      <c r="G963">
        <v>57</v>
      </c>
      <c r="H963" t="str">
        <f t="shared" ref="H963:H1001" si="15">IF(G963&lt;25,"18-24",IF(G963&lt;35,"25-34",IF(G963&lt;45,"35-44",IF(G963&lt;55,"45-54","55+"))))</f>
        <v>55+</v>
      </c>
      <c r="I963">
        <v>9</v>
      </c>
      <c r="J963">
        <v>49285</v>
      </c>
      <c r="K963">
        <v>10</v>
      </c>
      <c r="L963">
        <v>443565</v>
      </c>
      <c r="M963">
        <v>44356.5</v>
      </c>
      <c r="N963">
        <v>399208.5</v>
      </c>
    </row>
    <row r="964" spans="1:14" x14ac:dyDescent="0.25">
      <c r="A964">
        <v>10963</v>
      </c>
      <c r="B964" s="4">
        <v>45889</v>
      </c>
      <c r="C964" t="s">
        <v>33</v>
      </c>
      <c r="D964" t="s">
        <v>22</v>
      </c>
      <c r="E964" t="s">
        <v>19</v>
      </c>
      <c r="F964" t="s">
        <v>20</v>
      </c>
      <c r="G964">
        <v>42</v>
      </c>
      <c r="H964" t="str">
        <f t="shared" si="15"/>
        <v>35-44</v>
      </c>
      <c r="I964">
        <v>3</v>
      </c>
      <c r="J964">
        <v>49956</v>
      </c>
      <c r="K964">
        <v>5</v>
      </c>
      <c r="L964">
        <v>149868</v>
      </c>
      <c r="M964">
        <v>7493.4</v>
      </c>
      <c r="N964">
        <v>142374.6</v>
      </c>
    </row>
    <row r="965" spans="1:14" x14ac:dyDescent="0.25">
      <c r="A965">
        <v>10964</v>
      </c>
      <c r="B965" s="4">
        <v>45890</v>
      </c>
      <c r="C965" t="s">
        <v>33</v>
      </c>
      <c r="D965" t="s">
        <v>14</v>
      </c>
      <c r="E965" t="s">
        <v>19</v>
      </c>
      <c r="F965" t="s">
        <v>16</v>
      </c>
      <c r="G965">
        <v>49</v>
      </c>
      <c r="H965" t="str">
        <f t="shared" si="15"/>
        <v>45-54</v>
      </c>
      <c r="I965">
        <v>6</v>
      </c>
      <c r="J965">
        <v>16209</v>
      </c>
      <c r="K965">
        <v>5</v>
      </c>
      <c r="L965">
        <v>97254</v>
      </c>
      <c r="M965">
        <v>4862.7</v>
      </c>
      <c r="N965">
        <v>92391.3</v>
      </c>
    </row>
    <row r="966" spans="1:14" x14ac:dyDescent="0.25">
      <c r="A966">
        <v>10965</v>
      </c>
      <c r="B966" s="4">
        <v>45891</v>
      </c>
      <c r="C966" t="s">
        <v>13</v>
      </c>
      <c r="D966" t="s">
        <v>27</v>
      </c>
      <c r="E966" t="s">
        <v>19</v>
      </c>
      <c r="F966" t="s">
        <v>31</v>
      </c>
      <c r="G966">
        <v>37</v>
      </c>
      <c r="H966" t="str">
        <f t="shared" si="15"/>
        <v>35-44</v>
      </c>
      <c r="I966">
        <v>5</v>
      </c>
      <c r="J966">
        <v>1169</v>
      </c>
      <c r="K966">
        <v>10</v>
      </c>
      <c r="L966">
        <v>5845</v>
      </c>
      <c r="M966">
        <v>584.5</v>
      </c>
      <c r="N966">
        <v>5260.5</v>
      </c>
    </row>
    <row r="967" spans="1:14" x14ac:dyDescent="0.25">
      <c r="A967">
        <v>10966</v>
      </c>
      <c r="B967" s="4">
        <v>45892</v>
      </c>
      <c r="C967" t="s">
        <v>17</v>
      </c>
      <c r="D967" t="s">
        <v>29</v>
      </c>
      <c r="E967" t="s">
        <v>32</v>
      </c>
      <c r="F967" t="s">
        <v>28</v>
      </c>
      <c r="G967">
        <v>58</v>
      </c>
      <c r="H967" t="str">
        <f t="shared" si="15"/>
        <v>55+</v>
      </c>
      <c r="I967">
        <v>1</v>
      </c>
      <c r="J967">
        <v>9350</v>
      </c>
      <c r="K967">
        <v>10</v>
      </c>
      <c r="L967">
        <v>9350</v>
      </c>
      <c r="M967">
        <v>935</v>
      </c>
      <c r="N967">
        <v>8415</v>
      </c>
    </row>
    <row r="968" spans="1:14" x14ac:dyDescent="0.25">
      <c r="A968">
        <v>10967</v>
      </c>
      <c r="B968" s="4">
        <v>45893</v>
      </c>
      <c r="C968" t="s">
        <v>17</v>
      </c>
      <c r="D968" t="s">
        <v>29</v>
      </c>
      <c r="E968" t="s">
        <v>19</v>
      </c>
      <c r="F968" t="s">
        <v>28</v>
      </c>
      <c r="G968">
        <v>61</v>
      </c>
      <c r="H968" t="str">
        <f t="shared" si="15"/>
        <v>55+</v>
      </c>
      <c r="I968">
        <v>7</v>
      </c>
      <c r="J968">
        <v>39303</v>
      </c>
      <c r="K968">
        <v>10</v>
      </c>
      <c r="L968">
        <v>275121</v>
      </c>
      <c r="M968">
        <v>27512.1</v>
      </c>
      <c r="N968">
        <v>247608.9</v>
      </c>
    </row>
    <row r="969" spans="1:14" x14ac:dyDescent="0.25">
      <c r="A969">
        <v>10968</v>
      </c>
      <c r="B969" s="4">
        <v>45894</v>
      </c>
      <c r="C969" t="s">
        <v>17</v>
      </c>
      <c r="D969" t="s">
        <v>27</v>
      </c>
      <c r="E969" t="s">
        <v>25</v>
      </c>
      <c r="F969" t="s">
        <v>26</v>
      </c>
      <c r="G969">
        <v>18</v>
      </c>
      <c r="H969" t="str">
        <f t="shared" si="15"/>
        <v>18-24</v>
      </c>
      <c r="I969">
        <v>9</v>
      </c>
      <c r="J969">
        <v>18364</v>
      </c>
      <c r="K969">
        <v>0</v>
      </c>
      <c r="L969">
        <v>165276</v>
      </c>
      <c r="M969">
        <v>0</v>
      </c>
      <c r="N969">
        <v>165276</v>
      </c>
    </row>
    <row r="970" spans="1:14" x14ac:dyDescent="0.25">
      <c r="A970">
        <v>10969</v>
      </c>
      <c r="B970" s="4">
        <v>45895</v>
      </c>
      <c r="C970" t="s">
        <v>17</v>
      </c>
      <c r="D970" t="s">
        <v>27</v>
      </c>
      <c r="E970" t="s">
        <v>32</v>
      </c>
      <c r="F970" t="s">
        <v>16</v>
      </c>
      <c r="G970">
        <v>28</v>
      </c>
      <c r="H970" t="str">
        <f t="shared" si="15"/>
        <v>25-34</v>
      </c>
      <c r="I970">
        <v>7</v>
      </c>
      <c r="J970">
        <v>20092</v>
      </c>
      <c r="K970">
        <v>20</v>
      </c>
      <c r="L970">
        <v>140644</v>
      </c>
      <c r="M970">
        <v>28128.799999999999</v>
      </c>
      <c r="N970">
        <v>112515.2</v>
      </c>
    </row>
    <row r="971" spans="1:14" x14ac:dyDescent="0.25">
      <c r="A971">
        <v>10970</v>
      </c>
      <c r="B971" s="4">
        <v>45896</v>
      </c>
      <c r="C971" t="s">
        <v>13</v>
      </c>
      <c r="D971" t="s">
        <v>22</v>
      </c>
      <c r="E971" t="s">
        <v>32</v>
      </c>
      <c r="F971" t="s">
        <v>23</v>
      </c>
      <c r="G971">
        <v>26</v>
      </c>
      <c r="H971" t="str">
        <f t="shared" si="15"/>
        <v>25-34</v>
      </c>
      <c r="I971">
        <v>1</v>
      </c>
      <c r="J971">
        <v>16672</v>
      </c>
      <c r="K971">
        <v>15</v>
      </c>
      <c r="L971">
        <v>16672</v>
      </c>
      <c r="M971">
        <v>2500.8000000000002</v>
      </c>
      <c r="N971">
        <v>14171.2</v>
      </c>
    </row>
    <row r="972" spans="1:14" x14ac:dyDescent="0.25">
      <c r="A972">
        <v>10971</v>
      </c>
      <c r="B972" s="4">
        <v>45897</v>
      </c>
      <c r="C972" t="s">
        <v>17</v>
      </c>
      <c r="D972" t="s">
        <v>18</v>
      </c>
      <c r="E972" t="s">
        <v>15</v>
      </c>
      <c r="F972" t="s">
        <v>24</v>
      </c>
      <c r="G972">
        <v>57</v>
      </c>
      <c r="H972" t="str">
        <f t="shared" si="15"/>
        <v>55+</v>
      </c>
      <c r="I972">
        <v>5</v>
      </c>
      <c r="J972">
        <v>19208</v>
      </c>
      <c r="K972">
        <v>20</v>
      </c>
      <c r="L972">
        <v>96040</v>
      </c>
      <c r="M972">
        <v>19208</v>
      </c>
      <c r="N972">
        <v>76832</v>
      </c>
    </row>
    <row r="973" spans="1:14" x14ac:dyDescent="0.25">
      <c r="A973">
        <v>10972</v>
      </c>
      <c r="B973" s="4">
        <v>45898</v>
      </c>
      <c r="C973" t="s">
        <v>17</v>
      </c>
      <c r="D973" t="s">
        <v>22</v>
      </c>
      <c r="E973" t="s">
        <v>25</v>
      </c>
      <c r="F973" t="s">
        <v>20</v>
      </c>
      <c r="G973">
        <v>58</v>
      </c>
      <c r="H973" t="str">
        <f t="shared" si="15"/>
        <v>55+</v>
      </c>
      <c r="I973">
        <v>8</v>
      </c>
      <c r="J973">
        <v>49418</v>
      </c>
      <c r="K973">
        <v>10</v>
      </c>
      <c r="L973">
        <v>395344</v>
      </c>
      <c r="M973">
        <v>39534.400000000001</v>
      </c>
      <c r="N973">
        <v>355809.6</v>
      </c>
    </row>
    <row r="974" spans="1:14" x14ac:dyDescent="0.25">
      <c r="A974">
        <v>10973</v>
      </c>
      <c r="B974" s="4">
        <v>45899</v>
      </c>
      <c r="C974" t="s">
        <v>21</v>
      </c>
      <c r="D974" t="s">
        <v>18</v>
      </c>
      <c r="E974" t="s">
        <v>32</v>
      </c>
      <c r="F974" t="s">
        <v>28</v>
      </c>
      <c r="G974">
        <v>30</v>
      </c>
      <c r="H974" t="str">
        <f t="shared" si="15"/>
        <v>25-34</v>
      </c>
      <c r="I974">
        <v>4</v>
      </c>
      <c r="J974">
        <v>39501</v>
      </c>
      <c r="K974">
        <v>15</v>
      </c>
      <c r="L974">
        <v>158004</v>
      </c>
      <c r="M974">
        <v>23700.6</v>
      </c>
      <c r="N974">
        <v>134303.4</v>
      </c>
    </row>
    <row r="975" spans="1:14" x14ac:dyDescent="0.25">
      <c r="A975">
        <v>10974</v>
      </c>
      <c r="B975" s="4">
        <v>45900</v>
      </c>
      <c r="C975" t="s">
        <v>17</v>
      </c>
      <c r="D975" t="s">
        <v>14</v>
      </c>
      <c r="E975" t="s">
        <v>15</v>
      </c>
      <c r="F975" t="s">
        <v>20</v>
      </c>
      <c r="G975">
        <v>31</v>
      </c>
      <c r="H975" t="str">
        <f t="shared" si="15"/>
        <v>25-34</v>
      </c>
      <c r="I975">
        <v>6</v>
      </c>
      <c r="J975">
        <v>44019</v>
      </c>
      <c r="K975">
        <v>15</v>
      </c>
      <c r="L975">
        <v>264114</v>
      </c>
      <c r="M975">
        <v>39617.1</v>
      </c>
      <c r="N975">
        <v>224496.9</v>
      </c>
    </row>
    <row r="976" spans="1:14" x14ac:dyDescent="0.25">
      <c r="A976">
        <v>10975</v>
      </c>
      <c r="B976" s="4">
        <v>45901</v>
      </c>
      <c r="C976" t="s">
        <v>13</v>
      </c>
      <c r="D976" t="s">
        <v>29</v>
      </c>
      <c r="E976" t="s">
        <v>32</v>
      </c>
      <c r="F976" t="s">
        <v>20</v>
      </c>
      <c r="G976">
        <v>23</v>
      </c>
      <c r="H976" t="str">
        <f t="shared" si="15"/>
        <v>18-24</v>
      </c>
      <c r="I976">
        <v>3</v>
      </c>
      <c r="J976">
        <v>49721</v>
      </c>
      <c r="K976">
        <v>5</v>
      </c>
      <c r="L976">
        <v>149163</v>
      </c>
      <c r="M976">
        <v>7458.15</v>
      </c>
      <c r="N976">
        <v>141704.85</v>
      </c>
    </row>
    <row r="977" spans="1:14" x14ac:dyDescent="0.25">
      <c r="A977">
        <v>10976</v>
      </c>
      <c r="B977" s="4">
        <v>45902</v>
      </c>
      <c r="C977" t="s">
        <v>33</v>
      </c>
      <c r="D977" t="s">
        <v>27</v>
      </c>
      <c r="E977" t="s">
        <v>15</v>
      </c>
      <c r="F977" t="s">
        <v>30</v>
      </c>
      <c r="G977">
        <v>23</v>
      </c>
      <c r="H977" t="str">
        <f t="shared" si="15"/>
        <v>18-24</v>
      </c>
      <c r="I977">
        <v>8</v>
      </c>
      <c r="J977">
        <v>25277</v>
      </c>
      <c r="K977">
        <v>15</v>
      </c>
      <c r="L977">
        <v>202216</v>
      </c>
      <c r="M977">
        <v>30332.400000000001</v>
      </c>
      <c r="N977">
        <v>171883.6</v>
      </c>
    </row>
    <row r="978" spans="1:14" x14ac:dyDescent="0.25">
      <c r="A978">
        <v>10977</v>
      </c>
      <c r="B978" s="4">
        <v>45903</v>
      </c>
      <c r="C978" t="s">
        <v>17</v>
      </c>
      <c r="D978" t="s">
        <v>18</v>
      </c>
      <c r="E978" t="s">
        <v>25</v>
      </c>
      <c r="F978" t="s">
        <v>20</v>
      </c>
      <c r="G978">
        <v>29</v>
      </c>
      <c r="H978" t="str">
        <f t="shared" si="15"/>
        <v>25-34</v>
      </c>
      <c r="I978">
        <v>3</v>
      </c>
      <c r="J978">
        <v>32311</v>
      </c>
      <c r="K978">
        <v>15</v>
      </c>
      <c r="L978">
        <v>96933</v>
      </c>
      <c r="M978">
        <v>14539.95</v>
      </c>
      <c r="N978">
        <v>82393.05</v>
      </c>
    </row>
    <row r="979" spans="1:14" x14ac:dyDescent="0.25">
      <c r="A979">
        <v>10978</v>
      </c>
      <c r="B979" s="4">
        <v>45904</v>
      </c>
      <c r="C979" t="s">
        <v>13</v>
      </c>
      <c r="D979" t="s">
        <v>29</v>
      </c>
      <c r="E979" t="s">
        <v>15</v>
      </c>
      <c r="F979" t="s">
        <v>31</v>
      </c>
      <c r="G979">
        <v>30</v>
      </c>
      <c r="H979" t="str">
        <f t="shared" si="15"/>
        <v>25-34</v>
      </c>
      <c r="I979">
        <v>2</v>
      </c>
      <c r="J979">
        <v>13380</v>
      </c>
      <c r="K979">
        <v>5</v>
      </c>
      <c r="L979">
        <v>26760</v>
      </c>
      <c r="M979">
        <v>1338</v>
      </c>
      <c r="N979">
        <v>25422</v>
      </c>
    </row>
    <row r="980" spans="1:14" x14ac:dyDescent="0.25">
      <c r="A980">
        <v>10979</v>
      </c>
      <c r="B980" s="4">
        <v>45905</v>
      </c>
      <c r="C980" t="s">
        <v>17</v>
      </c>
      <c r="D980" t="s">
        <v>14</v>
      </c>
      <c r="E980" t="s">
        <v>15</v>
      </c>
      <c r="F980" t="s">
        <v>26</v>
      </c>
      <c r="G980">
        <v>55</v>
      </c>
      <c r="H980" t="str">
        <f t="shared" si="15"/>
        <v>55+</v>
      </c>
      <c r="I980">
        <v>3</v>
      </c>
      <c r="J980">
        <v>4747</v>
      </c>
      <c r="K980">
        <v>15</v>
      </c>
      <c r="L980">
        <v>14241</v>
      </c>
      <c r="M980">
        <v>2136.15</v>
      </c>
      <c r="N980">
        <v>12104.85</v>
      </c>
    </row>
    <row r="981" spans="1:14" x14ac:dyDescent="0.25">
      <c r="A981">
        <v>10980</v>
      </c>
      <c r="B981" s="4">
        <v>45906</v>
      </c>
      <c r="C981" t="s">
        <v>21</v>
      </c>
      <c r="D981" t="s">
        <v>22</v>
      </c>
      <c r="E981" t="s">
        <v>25</v>
      </c>
      <c r="F981" t="s">
        <v>23</v>
      </c>
      <c r="G981">
        <v>31</v>
      </c>
      <c r="H981" t="str">
        <f t="shared" si="15"/>
        <v>25-34</v>
      </c>
      <c r="I981">
        <v>5</v>
      </c>
      <c r="J981">
        <v>28866</v>
      </c>
      <c r="K981">
        <v>5</v>
      </c>
      <c r="L981">
        <v>144330</v>
      </c>
      <c r="M981">
        <v>7216.5</v>
      </c>
      <c r="N981">
        <v>137113.5</v>
      </c>
    </row>
    <row r="982" spans="1:14" x14ac:dyDescent="0.25">
      <c r="A982">
        <v>10981</v>
      </c>
      <c r="B982" s="4">
        <v>45907</v>
      </c>
      <c r="C982" t="s">
        <v>33</v>
      </c>
      <c r="D982" t="s">
        <v>29</v>
      </c>
      <c r="E982" t="s">
        <v>19</v>
      </c>
      <c r="F982" t="s">
        <v>31</v>
      </c>
      <c r="G982">
        <v>43</v>
      </c>
      <c r="H982" t="str">
        <f t="shared" si="15"/>
        <v>35-44</v>
      </c>
      <c r="I982">
        <v>5</v>
      </c>
      <c r="J982">
        <v>25944</v>
      </c>
      <c r="K982">
        <v>0</v>
      </c>
      <c r="L982">
        <v>129720</v>
      </c>
      <c r="M982">
        <v>0</v>
      </c>
      <c r="N982">
        <v>129720</v>
      </c>
    </row>
    <row r="983" spans="1:14" x14ac:dyDescent="0.25">
      <c r="A983">
        <v>10982</v>
      </c>
      <c r="B983" s="4">
        <v>45908</v>
      </c>
      <c r="C983" t="s">
        <v>33</v>
      </c>
      <c r="D983" t="s">
        <v>29</v>
      </c>
      <c r="E983" t="s">
        <v>15</v>
      </c>
      <c r="F983" t="s">
        <v>23</v>
      </c>
      <c r="G983">
        <v>49</v>
      </c>
      <c r="H983" t="str">
        <f t="shared" si="15"/>
        <v>45-54</v>
      </c>
      <c r="I983">
        <v>5</v>
      </c>
      <c r="J983">
        <v>43236</v>
      </c>
      <c r="K983">
        <v>5</v>
      </c>
      <c r="L983">
        <v>216180</v>
      </c>
      <c r="M983">
        <v>10809</v>
      </c>
      <c r="N983">
        <v>205371</v>
      </c>
    </row>
    <row r="984" spans="1:14" x14ac:dyDescent="0.25">
      <c r="A984">
        <v>10983</v>
      </c>
      <c r="B984" s="4">
        <v>45909</v>
      </c>
      <c r="C984" t="s">
        <v>21</v>
      </c>
      <c r="D984" t="s">
        <v>29</v>
      </c>
      <c r="E984" t="s">
        <v>19</v>
      </c>
      <c r="F984" t="s">
        <v>26</v>
      </c>
      <c r="G984">
        <v>37</v>
      </c>
      <c r="H984" t="str">
        <f t="shared" si="15"/>
        <v>35-44</v>
      </c>
      <c r="I984">
        <v>5</v>
      </c>
      <c r="J984">
        <v>9943</v>
      </c>
      <c r="K984">
        <v>5</v>
      </c>
      <c r="L984">
        <v>49715</v>
      </c>
      <c r="M984">
        <v>2485.75</v>
      </c>
      <c r="N984">
        <v>47229.25</v>
      </c>
    </row>
    <row r="985" spans="1:14" x14ac:dyDescent="0.25">
      <c r="A985">
        <v>10984</v>
      </c>
      <c r="B985" s="4">
        <v>45910</v>
      </c>
      <c r="C985" t="s">
        <v>33</v>
      </c>
      <c r="D985" t="s">
        <v>14</v>
      </c>
      <c r="E985" t="s">
        <v>15</v>
      </c>
      <c r="F985" t="s">
        <v>26</v>
      </c>
      <c r="G985">
        <v>43</v>
      </c>
      <c r="H985" t="str">
        <f t="shared" si="15"/>
        <v>35-44</v>
      </c>
      <c r="I985">
        <v>1</v>
      </c>
      <c r="J985">
        <v>42973</v>
      </c>
      <c r="K985">
        <v>5</v>
      </c>
      <c r="L985">
        <v>42973</v>
      </c>
      <c r="M985">
        <v>2148.65</v>
      </c>
      <c r="N985">
        <v>40824.35</v>
      </c>
    </row>
    <row r="986" spans="1:14" x14ac:dyDescent="0.25">
      <c r="A986">
        <v>10985</v>
      </c>
      <c r="B986" s="4">
        <v>45911</v>
      </c>
      <c r="C986" t="s">
        <v>33</v>
      </c>
      <c r="D986" t="s">
        <v>14</v>
      </c>
      <c r="E986" t="s">
        <v>19</v>
      </c>
      <c r="F986" t="s">
        <v>31</v>
      </c>
      <c r="G986">
        <v>18</v>
      </c>
      <c r="H986" t="str">
        <f t="shared" si="15"/>
        <v>18-24</v>
      </c>
      <c r="I986">
        <v>8</v>
      </c>
      <c r="J986">
        <v>2635</v>
      </c>
      <c r="K986">
        <v>20</v>
      </c>
      <c r="L986">
        <v>21080</v>
      </c>
      <c r="M986">
        <v>4216</v>
      </c>
      <c r="N986">
        <v>16864</v>
      </c>
    </row>
    <row r="987" spans="1:14" x14ac:dyDescent="0.25">
      <c r="A987">
        <v>10986</v>
      </c>
      <c r="B987" s="4">
        <v>45912</v>
      </c>
      <c r="C987" t="s">
        <v>33</v>
      </c>
      <c r="D987" t="s">
        <v>18</v>
      </c>
      <c r="E987" t="s">
        <v>32</v>
      </c>
      <c r="F987" t="s">
        <v>26</v>
      </c>
      <c r="G987">
        <v>40</v>
      </c>
      <c r="H987" t="str">
        <f t="shared" si="15"/>
        <v>35-44</v>
      </c>
      <c r="I987">
        <v>2</v>
      </c>
      <c r="J987">
        <v>17668</v>
      </c>
      <c r="K987">
        <v>15</v>
      </c>
      <c r="L987">
        <v>35336</v>
      </c>
      <c r="M987">
        <v>5300.4</v>
      </c>
      <c r="N987">
        <v>30035.599999999999</v>
      </c>
    </row>
    <row r="988" spans="1:14" x14ac:dyDescent="0.25">
      <c r="A988">
        <v>10987</v>
      </c>
      <c r="B988" s="4">
        <v>45913</v>
      </c>
      <c r="C988" t="s">
        <v>13</v>
      </c>
      <c r="D988" t="s">
        <v>22</v>
      </c>
      <c r="E988" t="s">
        <v>15</v>
      </c>
      <c r="F988" t="s">
        <v>26</v>
      </c>
      <c r="G988">
        <v>20</v>
      </c>
      <c r="H988" t="str">
        <f t="shared" si="15"/>
        <v>18-24</v>
      </c>
      <c r="I988">
        <v>7</v>
      </c>
      <c r="J988">
        <v>23397</v>
      </c>
      <c r="K988">
        <v>5</v>
      </c>
      <c r="L988">
        <v>163779</v>
      </c>
      <c r="M988">
        <v>8188.95</v>
      </c>
      <c r="N988">
        <v>155590.04999999999</v>
      </c>
    </row>
    <row r="989" spans="1:14" x14ac:dyDescent="0.25">
      <c r="A989">
        <v>10988</v>
      </c>
      <c r="B989" s="4">
        <v>45914</v>
      </c>
      <c r="C989" t="s">
        <v>21</v>
      </c>
      <c r="D989" t="s">
        <v>18</v>
      </c>
      <c r="E989" t="s">
        <v>32</v>
      </c>
      <c r="F989" t="s">
        <v>24</v>
      </c>
      <c r="G989">
        <v>36</v>
      </c>
      <c r="H989" t="str">
        <f t="shared" si="15"/>
        <v>35-44</v>
      </c>
      <c r="I989">
        <v>6</v>
      </c>
      <c r="J989">
        <v>48739</v>
      </c>
      <c r="K989">
        <v>10</v>
      </c>
      <c r="L989">
        <v>292434</v>
      </c>
      <c r="M989">
        <v>29243.4</v>
      </c>
      <c r="N989">
        <v>263190.59999999998</v>
      </c>
    </row>
    <row r="990" spans="1:14" x14ac:dyDescent="0.25">
      <c r="A990">
        <v>10989</v>
      </c>
      <c r="B990" s="4">
        <v>45915</v>
      </c>
      <c r="C990" t="s">
        <v>13</v>
      </c>
      <c r="D990" t="s">
        <v>18</v>
      </c>
      <c r="E990" t="s">
        <v>25</v>
      </c>
      <c r="F990" t="s">
        <v>30</v>
      </c>
      <c r="G990">
        <v>40</v>
      </c>
      <c r="H990" t="str">
        <f t="shared" si="15"/>
        <v>35-44</v>
      </c>
      <c r="I990">
        <v>6</v>
      </c>
      <c r="J990">
        <v>38481</v>
      </c>
      <c r="K990">
        <v>5</v>
      </c>
      <c r="L990">
        <v>230886</v>
      </c>
      <c r="M990">
        <v>11544.3</v>
      </c>
      <c r="N990">
        <v>219341.7</v>
      </c>
    </row>
    <row r="991" spans="1:14" x14ac:dyDescent="0.25">
      <c r="A991">
        <v>10990</v>
      </c>
      <c r="B991" s="4">
        <v>45916</v>
      </c>
      <c r="C991" t="s">
        <v>21</v>
      </c>
      <c r="D991" t="s">
        <v>14</v>
      </c>
      <c r="E991" t="s">
        <v>15</v>
      </c>
      <c r="F991" t="s">
        <v>16</v>
      </c>
      <c r="G991">
        <v>45</v>
      </c>
      <c r="H991" t="str">
        <f t="shared" si="15"/>
        <v>45-54</v>
      </c>
      <c r="I991">
        <v>4</v>
      </c>
      <c r="J991">
        <v>3387</v>
      </c>
      <c r="K991">
        <v>0</v>
      </c>
      <c r="L991">
        <v>13548</v>
      </c>
      <c r="M991">
        <v>0</v>
      </c>
      <c r="N991">
        <v>13548</v>
      </c>
    </row>
    <row r="992" spans="1:14" x14ac:dyDescent="0.25">
      <c r="A992">
        <v>10991</v>
      </c>
      <c r="B992" s="4">
        <v>45917</v>
      </c>
      <c r="C992" t="s">
        <v>33</v>
      </c>
      <c r="D992" t="s">
        <v>18</v>
      </c>
      <c r="E992" t="s">
        <v>32</v>
      </c>
      <c r="F992" t="s">
        <v>20</v>
      </c>
      <c r="G992">
        <v>53</v>
      </c>
      <c r="H992" t="str">
        <f t="shared" si="15"/>
        <v>45-54</v>
      </c>
      <c r="I992">
        <v>2</v>
      </c>
      <c r="J992">
        <v>44030</v>
      </c>
      <c r="K992">
        <v>20</v>
      </c>
      <c r="L992">
        <v>88060</v>
      </c>
      <c r="M992">
        <v>17612</v>
      </c>
      <c r="N992">
        <v>70448</v>
      </c>
    </row>
    <row r="993" spans="1:14" x14ac:dyDescent="0.25">
      <c r="A993">
        <v>10992</v>
      </c>
      <c r="B993" s="4">
        <v>45918</v>
      </c>
      <c r="C993" t="s">
        <v>17</v>
      </c>
      <c r="D993" t="s">
        <v>27</v>
      </c>
      <c r="E993" t="s">
        <v>15</v>
      </c>
      <c r="F993" t="s">
        <v>20</v>
      </c>
      <c r="G993">
        <v>52</v>
      </c>
      <c r="H993" t="str">
        <f t="shared" si="15"/>
        <v>45-54</v>
      </c>
      <c r="I993">
        <v>4</v>
      </c>
      <c r="J993">
        <v>16135</v>
      </c>
      <c r="K993">
        <v>15</v>
      </c>
      <c r="L993">
        <v>64540</v>
      </c>
      <c r="M993">
        <v>9681</v>
      </c>
      <c r="N993">
        <v>54859</v>
      </c>
    </row>
    <row r="994" spans="1:14" x14ac:dyDescent="0.25">
      <c r="A994">
        <v>10993</v>
      </c>
      <c r="B994" s="4">
        <v>45919</v>
      </c>
      <c r="C994" t="s">
        <v>13</v>
      </c>
      <c r="D994" t="s">
        <v>29</v>
      </c>
      <c r="E994" t="s">
        <v>32</v>
      </c>
      <c r="F994" t="s">
        <v>26</v>
      </c>
      <c r="G994">
        <v>52</v>
      </c>
      <c r="H994" t="str">
        <f t="shared" si="15"/>
        <v>45-54</v>
      </c>
      <c r="I994">
        <v>5</v>
      </c>
      <c r="J994">
        <v>48779</v>
      </c>
      <c r="K994">
        <v>20</v>
      </c>
      <c r="L994">
        <v>243895</v>
      </c>
      <c r="M994">
        <v>48779</v>
      </c>
      <c r="N994">
        <v>195116</v>
      </c>
    </row>
    <row r="995" spans="1:14" x14ac:dyDescent="0.25">
      <c r="A995">
        <v>10994</v>
      </c>
      <c r="B995" s="4">
        <v>45920</v>
      </c>
      <c r="C995" t="s">
        <v>21</v>
      </c>
      <c r="D995" t="s">
        <v>14</v>
      </c>
      <c r="E995" t="s">
        <v>19</v>
      </c>
      <c r="F995" t="s">
        <v>28</v>
      </c>
      <c r="G995">
        <v>54</v>
      </c>
      <c r="H995" t="str">
        <f t="shared" si="15"/>
        <v>45-54</v>
      </c>
      <c r="I995">
        <v>2</v>
      </c>
      <c r="J995">
        <v>29314</v>
      </c>
      <c r="K995">
        <v>20</v>
      </c>
      <c r="L995">
        <v>58628</v>
      </c>
      <c r="M995">
        <v>11725.6</v>
      </c>
      <c r="N995">
        <v>46902.400000000001</v>
      </c>
    </row>
    <row r="996" spans="1:14" x14ac:dyDescent="0.25">
      <c r="A996">
        <v>10995</v>
      </c>
      <c r="B996" s="4">
        <v>45921</v>
      </c>
      <c r="C996" t="s">
        <v>21</v>
      </c>
      <c r="D996" t="s">
        <v>27</v>
      </c>
      <c r="E996" t="s">
        <v>32</v>
      </c>
      <c r="F996" t="s">
        <v>24</v>
      </c>
      <c r="G996">
        <v>32</v>
      </c>
      <c r="H996" t="str">
        <f t="shared" si="15"/>
        <v>25-34</v>
      </c>
      <c r="I996">
        <v>3</v>
      </c>
      <c r="J996">
        <v>7018</v>
      </c>
      <c r="K996">
        <v>15</v>
      </c>
      <c r="L996">
        <v>21054</v>
      </c>
      <c r="M996">
        <v>3158.1</v>
      </c>
      <c r="N996">
        <v>17895.900000000001</v>
      </c>
    </row>
    <row r="997" spans="1:14" x14ac:dyDescent="0.25">
      <c r="A997">
        <v>10996</v>
      </c>
      <c r="B997" s="4">
        <v>45922</v>
      </c>
      <c r="C997" t="s">
        <v>21</v>
      </c>
      <c r="D997" t="s">
        <v>27</v>
      </c>
      <c r="E997" t="s">
        <v>19</v>
      </c>
      <c r="F997" t="s">
        <v>28</v>
      </c>
      <c r="G997">
        <v>58</v>
      </c>
      <c r="H997" t="str">
        <f t="shared" si="15"/>
        <v>55+</v>
      </c>
      <c r="I997">
        <v>4</v>
      </c>
      <c r="J997">
        <v>27674</v>
      </c>
      <c r="K997">
        <v>20</v>
      </c>
      <c r="L997">
        <v>110696</v>
      </c>
      <c r="M997">
        <v>22139.200000000001</v>
      </c>
      <c r="N997">
        <v>88556.800000000003</v>
      </c>
    </row>
    <row r="998" spans="1:14" x14ac:dyDescent="0.25">
      <c r="A998">
        <v>10997</v>
      </c>
      <c r="B998" s="4">
        <v>45923</v>
      </c>
      <c r="C998" t="s">
        <v>21</v>
      </c>
      <c r="D998" t="s">
        <v>27</v>
      </c>
      <c r="E998" t="s">
        <v>25</v>
      </c>
      <c r="F998" t="s">
        <v>26</v>
      </c>
      <c r="G998">
        <v>63</v>
      </c>
      <c r="H998" t="str">
        <f t="shared" si="15"/>
        <v>55+</v>
      </c>
      <c r="I998">
        <v>7</v>
      </c>
      <c r="J998">
        <v>30750</v>
      </c>
      <c r="K998">
        <v>15</v>
      </c>
      <c r="L998">
        <v>215250</v>
      </c>
      <c r="M998">
        <v>32287.5</v>
      </c>
      <c r="N998">
        <v>182962.5</v>
      </c>
    </row>
    <row r="999" spans="1:14" x14ac:dyDescent="0.25">
      <c r="A999">
        <v>10998</v>
      </c>
      <c r="B999" s="4">
        <v>45924</v>
      </c>
      <c r="C999" t="s">
        <v>33</v>
      </c>
      <c r="D999" t="s">
        <v>29</v>
      </c>
      <c r="E999" t="s">
        <v>32</v>
      </c>
      <c r="F999" t="s">
        <v>16</v>
      </c>
      <c r="G999">
        <v>32</v>
      </c>
      <c r="H999" t="str">
        <f t="shared" si="15"/>
        <v>25-34</v>
      </c>
      <c r="I999">
        <v>7</v>
      </c>
      <c r="J999">
        <v>14480</v>
      </c>
      <c r="K999">
        <v>10</v>
      </c>
      <c r="L999">
        <v>101360</v>
      </c>
      <c r="M999">
        <v>10136</v>
      </c>
      <c r="N999">
        <v>91224</v>
      </c>
    </row>
    <row r="1000" spans="1:14" x14ac:dyDescent="0.25">
      <c r="A1000">
        <v>10999</v>
      </c>
      <c r="B1000" s="4">
        <v>45925</v>
      </c>
      <c r="C1000" t="s">
        <v>33</v>
      </c>
      <c r="D1000" t="s">
        <v>14</v>
      </c>
      <c r="E1000" t="s">
        <v>32</v>
      </c>
      <c r="F1000" t="s">
        <v>24</v>
      </c>
      <c r="G1000">
        <v>18</v>
      </c>
      <c r="H1000" t="str">
        <f t="shared" si="15"/>
        <v>18-24</v>
      </c>
      <c r="I1000">
        <v>6</v>
      </c>
      <c r="J1000">
        <v>37429</v>
      </c>
      <c r="K1000">
        <v>5</v>
      </c>
      <c r="L1000">
        <v>224574</v>
      </c>
      <c r="M1000">
        <v>11228.7</v>
      </c>
      <c r="N1000">
        <v>213345.3</v>
      </c>
    </row>
    <row r="1001" spans="1:14" x14ac:dyDescent="0.25">
      <c r="A1001">
        <v>11000</v>
      </c>
      <c r="B1001" s="4">
        <v>45926</v>
      </c>
      <c r="C1001" t="s">
        <v>33</v>
      </c>
      <c r="D1001" t="s">
        <v>18</v>
      </c>
      <c r="E1001" t="s">
        <v>15</v>
      </c>
      <c r="F1001" t="s">
        <v>24</v>
      </c>
      <c r="G1001">
        <v>38</v>
      </c>
      <c r="H1001" t="str">
        <f t="shared" si="15"/>
        <v>35-44</v>
      </c>
      <c r="I1001">
        <v>3</v>
      </c>
      <c r="J1001">
        <v>27875</v>
      </c>
      <c r="K1001">
        <v>10</v>
      </c>
      <c r="L1001">
        <v>83625</v>
      </c>
      <c r="M1001">
        <v>8362.5</v>
      </c>
      <c r="N1001">
        <v>75262.5</v>
      </c>
    </row>
  </sheetData>
  <autoFilter ref="A1:N100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N32"/>
  <sheetViews>
    <sheetView workbookViewId="0">
      <selection activeCell="J11" sqref="J11"/>
    </sheetView>
  </sheetViews>
  <sheetFormatPr defaultRowHeight="15" x14ac:dyDescent="0.25"/>
  <cols>
    <col min="1" max="1" width="9.42578125" customWidth="1"/>
    <col min="2" max="2" width="12.140625" bestFit="1" customWidth="1"/>
    <col min="4" max="4" width="10.28515625" customWidth="1"/>
    <col min="5" max="5" width="12.140625" bestFit="1" customWidth="1"/>
    <col min="7" max="7" width="10.140625" customWidth="1"/>
    <col min="8" max="8" width="12.140625" customWidth="1"/>
    <col min="10" max="10" width="11.140625" customWidth="1"/>
    <col min="11" max="11" width="12.140625" bestFit="1" customWidth="1"/>
    <col min="12" max="12" width="13.140625" bestFit="1" customWidth="1"/>
    <col min="13" max="13" width="15.5703125" bestFit="1" customWidth="1"/>
    <col min="14" max="14" width="12.140625" bestFit="1" customWidth="1"/>
  </cols>
  <sheetData>
    <row r="1" spans="1:14" x14ac:dyDescent="0.25">
      <c r="A1" s="1" t="s">
        <v>2</v>
      </c>
      <c r="B1" t="s">
        <v>34</v>
      </c>
      <c r="D1" s="1" t="s">
        <v>3</v>
      </c>
      <c r="E1" t="s">
        <v>34</v>
      </c>
      <c r="G1" s="1" t="s">
        <v>48</v>
      </c>
      <c r="H1" t="s">
        <v>34</v>
      </c>
      <c r="J1" s="1" t="s">
        <v>4</v>
      </c>
      <c r="K1" t="s">
        <v>34</v>
      </c>
    </row>
    <row r="2" spans="1:14" x14ac:dyDescent="0.25">
      <c r="A2" s="2" t="s">
        <v>33</v>
      </c>
      <c r="B2" s="3">
        <v>32521733</v>
      </c>
      <c r="D2" s="2" t="s">
        <v>18</v>
      </c>
      <c r="E2" s="3">
        <v>22987517</v>
      </c>
      <c r="G2" s="5" t="s">
        <v>35</v>
      </c>
      <c r="H2" s="3">
        <v>9305085</v>
      </c>
      <c r="J2" s="2" t="s">
        <v>25</v>
      </c>
      <c r="K2" s="6">
        <v>0.2475651556830846</v>
      </c>
      <c r="M2" s="2"/>
      <c r="N2" s="3"/>
    </row>
    <row r="3" spans="1:14" x14ac:dyDescent="0.25">
      <c r="A3" s="2" t="s">
        <v>21</v>
      </c>
      <c r="B3" s="3">
        <v>35500572</v>
      </c>
      <c r="D3" s="2" t="s">
        <v>29</v>
      </c>
      <c r="E3" s="3">
        <v>31188244</v>
      </c>
      <c r="G3" s="5" t="s">
        <v>36</v>
      </c>
      <c r="H3" s="3">
        <v>10904366</v>
      </c>
      <c r="J3" s="2" t="s">
        <v>32</v>
      </c>
      <c r="K3" s="6">
        <v>0.26001720499729636</v>
      </c>
      <c r="M3" s="2"/>
      <c r="N3" s="3"/>
    </row>
    <row r="4" spans="1:14" x14ac:dyDescent="0.25">
      <c r="A4" s="2" t="s">
        <v>13</v>
      </c>
      <c r="B4" s="3">
        <v>30386396</v>
      </c>
      <c r="D4" s="2" t="s">
        <v>14</v>
      </c>
      <c r="E4" s="3">
        <v>21452815</v>
      </c>
      <c r="G4" s="5" t="s">
        <v>37</v>
      </c>
      <c r="H4" s="3">
        <v>11798565</v>
      </c>
      <c r="J4" s="2" t="s">
        <v>15</v>
      </c>
      <c r="K4" s="6">
        <v>0.27071501898624772</v>
      </c>
      <c r="M4" s="2"/>
      <c r="N4" s="3"/>
    </row>
    <row r="5" spans="1:14" x14ac:dyDescent="0.25">
      <c r="A5" s="2" t="s">
        <v>17</v>
      </c>
      <c r="B5" s="3">
        <v>29408814</v>
      </c>
      <c r="D5" s="2" t="s">
        <v>27</v>
      </c>
      <c r="E5" s="3">
        <v>27666204</v>
      </c>
      <c r="G5" s="5" t="s">
        <v>38</v>
      </c>
      <c r="H5" s="3">
        <v>12734695</v>
      </c>
      <c r="J5" s="2" t="s">
        <v>19</v>
      </c>
      <c r="K5" s="6">
        <v>0.22170262033337138</v>
      </c>
      <c r="M5" s="2"/>
      <c r="N5" s="3"/>
    </row>
    <row r="6" spans="1:14" x14ac:dyDescent="0.25">
      <c r="D6" s="2" t="s">
        <v>22</v>
      </c>
      <c r="E6" s="3">
        <v>24522735</v>
      </c>
      <c r="G6" s="5" t="s">
        <v>39</v>
      </c>
      <c r="H6" s="3">
        <v>10774944</v>
      </c>
      <c r="M6" s="2"/>
      <c r="N6" s="3"/>
    </row>
    <row r="7" spans="1:14" x14ac:dyDescent="0.25">
      <c r="G7" s="5" t="s">
        <v>40</v>
      </c>
      <c r="H7" s="3">
        <v>11478889</v>
      </c>
    </row>
    <row r="8" spans="1:14" x14ac:dyDescent="0.25">
      <c r="G8" s="5" t="s">
        <v>41</v>
      </c>
      <c r="H8" s="3">
        <v>14211277</v>
      </c>
    </row>
    <row r="9" spans="1:14" x14ac:dyDescent="0.25">
      <c r="G9" s="5" t="s">
        <v>42</v>
      </c>
      <c r="H9" s="3">
        <v>11833107</v>
      </c>
    </row>
    <row r="10" spans="1:14" x14ac:dyDescent="0.25">
      <c r="G10" s="5" t="s">
        <v>43</v>
      </c>
      <c r="H10" s="3">
        <v>10468476</v>
      </c>
    </row>
    <row r="11" spans="1:14" x14ac:dyDescent="0.25">
      <c r="G11" s="5" t="s">
        <v>44</v>
      </c>
      <c r="H11" s="3">
        <v>8719217</v>
      </c>
    </row>
    <row r="12" spans="1:14" x14ac:dyDescent="0.25">
      <c r="G12" s="5" t="s">
        <v>45</v>
      </c>
      <c r="H12" s="3">
        <v>8768913</v>
      </c>
    </row>
    <row r="13" spans="1:14" x14ac:dyDescent="0.25">
      <c r="G13" s="5" t="s">
        <v>46</v>
      </c>
      <c r="H13" s="3">
        <v>6819981</v>
      </c>
    </row>
    <row r="20" spans="1:1" x14ac:dyDescent="0.25">
      <c r="A20" s="5"/>
    </row>
    <row r="21" spans="1:1" x14ac:dyDescent="0.25">
      <c r="A21" s="5"/>
    </row>
    <row r="22" spans="1:1" x14ac:dyDescent="0.25">
      <c r="A22" s="5"/>
    </row>
    <row r="23" spans="1:1" x14ac:dyDescent="0.25">
      <c r="A23" s="5"/>
    </row>
    <row r="24" spans="1:1" x14ac:dyDescent="0.25">
      <c r="A24" s="5"/>
    </row>
    <row r="25" spans="1:1" x14ac:dyDescent="0.25">
      <c r="A25" s="5"/>
    </row>
    <row r="26" spans="1:1" x14ac:dyDescent="0.25">
      <c r="A26" s="5"/>
    </row>
    <row r="27" spans="1:1" x14ac:dyDescent="0.25">
      <c r="A27" s="5"/>
    </row>
    <row r="28" spans="1:1" x14ac:dyDescent="0.25">
      <c r="A28" s="5"/>
    </row>
    <row r="29" spans="1:1" x14ac:dyDescent="0.25">
      <c r="A29" s="5"/>
    </row>
    <row r="30" spans="1:1" x14ac:dyDescent="0.25">
      <c r="A30" s="5"/>
    </row>
    <row r="31" spans="1:1" x14ac:dyDescent="0.25">
      <c r="A31" s="5"/>
    </row>
    <row r="32" spans="1:1" x14ac:dyDescent="0.25">
      <c r="A32" s="5"/>
    </row>
  </sheetData>
  <pageMargins left="0.7" right="0.7" top="0.75" bottom="0.75" header="0.3" footer="0.3"/>
  <pageSetup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F9"/>
  <sheetViews>
    <sheetView workbookViewId="0">
      <selection activeCell="I6" sqref="I6"/>
    </sheetView>
  </sheetViews>
  <sheetFormatPr defaultRowHeight="15" x14ac:dyDescent="0.25"/>
  <cols>
    <col min="1" max="1" width="15.5703125" bestFit="1" customWidth="1"/>
    <col min="2" max="2" width="15.42578125" bestFit="1" customWidth="1"/>
    <col min="4" max="4" width="15.5703125" bestFit="1" customWidth="1"/>
    <col min="5" max="5" width="12.140625" bestFit="1" customWidth="1"/>
    <col min="6" max="6" width="12.5703125" bestFit="1" customWidth="1"/>
    <col min="7" max="7" width="15.5703125" bestFit="1" customWidth="1"/>
    <col min="8" max="8" width="12.140625" customWidth="1"/>
    <col min="9" max="9" width="12.5703125" bestFit="1" customWidth="1"/>
  </cols>
  <sheetData>
    <row r="1" spans="1:6" x14ac:dyDescent="0.25">
      <c r="A1" s="7" t="s">
        <v>5</v>
      </c>
      <c r="B1" t="s">
        <v>50</v>
      </c>
      <c r="D1" s="1" t="s">
        <v>5</v>
      </c>
      <c r="E1" t="s">
        <v>34</v>
      </c>
      <c r="F1" t="s">
        <v>47</v>
      </c>
    </row>
    <row r="2" spans="1:6" x14ac:dyDescent="0.25">
      <c r="A2" s="2" t="s">
        <v>24</v>
      </c>
      <c r="B2" s="3">
        <v>726</v>
      </c>
      <c r="D2" s="2" t="s">
        <v>24</v>
      </c>
      <c r="E2" s="3">
        <v>18993859</v>
      </c>
      <c r="F2" s="3">
        <v>16902127.600000001</v>
      </c>
    </row>
    <row r="3" spans="1:6" x14ac:dyDescent="0.25">
      <c r="A3" s="2" t="s">
        <v>28</v>
      </c>
      <c r="B3" s="3">
        <v>657</v>
      </c>
      <c r="D3" s="2" t="s">
        <v>28</v>
      </c>
      <c r="E3" s="3">
        <v>16459280</v>
      </c>
      <c r="F3" s="3">
        <v>14872944.649999999</v>
      </c>
    </row>
    <row r="4" spans="1:6" x14ac:dyDescent="0.25">
      <c r="A4" s="2" t="s">
        <v>20</v>
      </c>
      <c r="B4" s="3">
        <v>741</v>
      </c>
      <c r="D4" s="2" t="s">
        <v>20</v>
      </c>
      <c r="E4" s="3">
        <v>20261367</v>
      </c>
      <c r="F4" s="3">
        <v>18209767.550000008</v>
      </c>
    </row>
    <row r="5" spans="1:6" x14ac:dyDescent="0.25">
      <c r="A5" s="2" t="s">
        <v>16</v>
      </c>
      <c r="B5" s="3">
        <v>628</v>
      </c>
      <c r="D5" s="2" t="s">
        <v>23</v>
      </c>
      <c r="E5" s="3">
        <v>14261031</v>
      </c>
      <c r="F5" s="3">
        <v>13061663.400000002</v>
      </c>
    </row>
    <row r="6" spans="1:6" x14ac:dyDescent="0.25">
      <c r="A6" s="2" t="s">
        <v>30</v>
      </c>
      <c r="B6" s="3">
        <v>649</v>
      </c>
      <c r="D6" s="2" t="s">
        <v>16</v>
      </c>
      <c r="E6" s="3">
        <v>16193351</v>
      </c>
      <c r="F6" s="3">
        <v>14600976.400000004</v>
      </c>
    </row>
    <row r="7" spans="1:6" x14ac:dyDescent="0.25">
      <c r="D7" s="2" t="s">
        <v>26</v>
      </c>
      <c r="E7" s="3">
        <v>11371518</v>
      </c>
      <c r="F7" s="3">
        <v>10190773.35</v>
      </c>
    </row>
    <row r="8" spans="1:6" x14ac:dyDescent="0.25">
      <c r="D8" s="2" t="s">
        <v>31</v>
      </c>
      <c r="E8" s="3">
        <v>15324679</v>
      </c>
      <c r="F8" s="3">
        <v>13738348.6</v>
      </c>
    </row>
    <row r="9" spans="1:6" x14ac:dyDescent="0.25">
      <c r="D9" s="2" t="s">
        <v>30</v>
      </c>
      <c r="E9" s="3">
        <v>14952430</v>
      </c>
      <c r="F9" s="3">
        <v>13232444.249999996</v>
      </c>
    </row>
  </sheetData>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
  <sheetViews>
    <sheetView tabSelected="1" zoomScale="85" zoomScaleNormal="85" workbookViewId="0">
      <selection activeCell="U41" sqref="U4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SalesData</vt:lpstr>
      <vt:lpstr>Sales Analysis</vt:lpstr>
      <vt:lpstr>Product Performance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lbsti</dc:creator>
  <cp:lastModifiedBy>lbsti</cp:lastModifiedBy>
  <dcterms:created xsi:type="dcterms:W3CDTF">2026-01-20T06:50:53Z</dcterms:created>
  <dcterms:modified xsi:type="dcterms:W3CDTF">2026-01-30T07:15:00Z</dcterms:modified>
</cp:coreProperties>
</file>